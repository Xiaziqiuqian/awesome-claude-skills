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参数设置" sheetId="2" state="visible" r:id="rId2"/>
    <sheet name="产品SKU" sheetId="3" state="visible" r:id="rId3"/>
    <sheet name="原料BOM" sheetId="4" state="visible" r:id="rId4"/>
    <sheet name="原料仓计算" sheetId="5" state="visible" r:id="rId5"/>
    <sheet name="过程品仓计算" sheetId="6" state="visible" r:id="rId6"/>
    <sheet name="成品仓计算" sheetId="7" state="visible" r:id="rId7"/>
    <sheet name="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b val="1"/>
      <color rgb="00000000"/>
      <sz val="10"/>
    </font>
    <font>
      <name val="微软雅黑"/>
      <sz val="10"/>
    </font>
    <font>
      <name val="微软雅黑"/>
      <b val="1"/>
      <color rgb="00FFFFFF"/>
      <sz val="13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color rgb="0000008B"/>
      <sz val="10"/>
    </font>
    <font>
      <name val="微软雅黑"/>
      <i val="1"/>
      <color rgb="00FF0000"/>
      <sz val="9"/>
    </font>
    <font>
      <name val="微软雅黑"/>
      <i val="1"/>
      <color rgb="00444444"/>
      <sz val="9"/>
    </font>
    <font>
      <name val="微软雅黑"/>
      <i val="1"/>
      <color rgb="00C00000"/>
      <sz val="10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0F8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3" fontId="8" fillId="5" borderId="1" applyAlignment="1" pivotButton="0" quotePrefix="0" xfId="0">
      <alignment horizontal="left" vertical="center" wrapText="1"/>
    </xf>
    <xf numFmtId="4" fontId="7" fillId="6" borderId="1" applyAlignment="1" pivotButton="0" quotePrefix="0" xfId="0">
      <alignment horizontal="left" vertical="center" wrapText="1"/>
    </xf>
    <xf numFmtId="4" fontId="8" fillId="5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3" fontId="7" fillId="6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</cols>
  <sheetData>
    <row r="1" ht="36" customHeight="1">
      <c r="A1" s="1" t="inlineStr">
        <is>
          <t>仓库规划库存需求计算模板 — 使用说明</t>
        </is>
      </c>
    </row>
    <row r="3" ht="28" customHeight="1">
      <c r="A3" s="2" t="inlineStr">
        <is>
          <t>【工作簿结构】</t>
        </is>
      </c>
    </row>
    <row r="4" ht="18" customHeight="1">
      <c r="B4" s="3" t="inlineStr">
        <is>
          <t>使用说明</t>
        </is>
      </c>
      <c r="C4" s="4" t="inlineStr">
        <is>
          <t>本页面，说明各工作表用途及填写方法。</t>
        </is>
      </c>
    </row>
    <row r="5" ht="18" customHeight="1">
      <c r="B5" s="3" t="inlineStr">
        <is>
          <t>参数设置</t>
        </is>
      </c>
      <c r="C5" s="4" t="inlineStr">
        <is>
          <t>填写全局通用参数：年工作天数、安全系数、托盘尺寸、面积利用率等。</t>
        </is>
      </c>
    </row>
    <row r="6" ht="18" customHeight="1">
      <c r="B6" s="3" t="inlineStr">
        <is>
          <t>产品SKU</t>
        </is>
      </c>
      <c r="C6" s="4" t="inlineStr">
        <is>
          <t>逐行输入每个产品/SKU 的需求与生产参数（年需求量、最小批量、生产间隔、成品目标库存天数等）。</t>
        </is>
      </c>
    </row>
    <row r="7" ht="18" customHeight="1">
      <c r="B7" s="3" t="inlineStr">
        <is>
          <t>原料BOM</t>
        </is>
      </c>
      <c r="C7" s="4" t="inlineStr">
        <is>
          <t>填写产品-原料消耗矩阵，每行一种原料，列对应各SKU，输入单位消耗量及累计良率损耗系数。</t>
        </is>
      </c>
    </row>
    <row r="8" ht="33" customHeight="1">
      <c r="B8" s="3" t="inlineStr">
        <is>
          <t>原料仓计算</t>
        </is>
      </c>
      <c r="C8" s="4" t="inlineStr">
        <is>
          <t>自动按原料汇总日消耗量，并计算：
设计库存 = MAX(日消耗×采购提前期, 最小订购量) + 安全库存 + 下批备料库存 + 退料库存 + 待检库存。</t>
        </is>
      </c>
    </row>
    <row r="9" ht="33" customHeight="1">
      <c r="B9" s="3" t="inlineStr">
        <is>
          <t>过程品仓计算</t>
        </is>
      </c>
      <c r="C9" s="4" t="inlineStr">
        <is>
          <t>按工序位置和SKU 计算：
设计WIP = MAX(下游小时消耗×缓冲小时数, 批量×最大等待批次数) + 待检库存 + 尾批库存 + 不良/返工库存。</t>
        </is>
      </c>
    </row>
    <row r="10" ht="33" customHeight="1">
      <c r="B10" s="3" t="inlineStr">
        <is>
          <t>成品仓计算</t>
        </is>
      </c>
      <c r="C10" s="4" t="inlineStr">
        <is>
          <t>按SKU 计算：
设计库存 = MAX(日需求×生产间隔, 日需求×目标库存天数, 最小生产批量) + 安全库存 + 待检放行库存。</t>
        </is>
      </c>
    </row>
    <row r="11" ht="18" customHeight="1">
      <c r="B11" s="3" t="inlineStr">
        <is>
          <t>汇总</t>
        </is>
      </c>
      <c r="C11" s="4" t="inlineStr">
        <is>
          <t>汇总三类仓库的设计库存量，并可选择计算托盘数和估算面积。</t>
        </is>
      </c>
    </row>
    <row r="13" ht="28" customHeight="1">
      <c r="A13" s="2" t="inlineStr">
        <is>
          <t>【填写说明】</t>
        </is>
      </c>
    </row>
    <row r="14" ht="18" customHeight="1">
      <c r="B14" s="3" t="inlineStr">
        <is>
          <t>蓝色单元格</t>
        </is>
      </c>
      <c r="C14" s="4" t="inlineStr">
        <is>
          <t>用户需要手动输入的参数（深蓝色字体、浅蓝色底色）。</t>
        </is>
      </c>
    </row>
    <row r="15" ht="18" customHeight="1">
      <c r="B15" s="3" t="inlineStr">
        <is>
          <t>绿色单元格</t>
        </is>
      </c>
      <c r="C15" s="4" t="inlineStr">
        <is>
          <t>由公式自动计算，请勿手动修改（黑色字体、浅绿色底色）。</t>
        </is>
      </c>
    </row>
    <row r="16" ht="18" customHeight="1">
      <c r="B16" s="3" t="inlineStr">
        <is>
          <t>黄色单元格</t>
        </is>
      </c>
      <c r="C16" s="4" t="inlineStr">
        <is>
          <t>关键假设，需要特别关注和确认。</t>
        </is>
      </c>
    </row>
    <row r="17" ht="18" customHeight="1">
      <c r="B17" s="3" t="inlineStr">
        <is>
          <t>行数扩展</t>
        </is>
      </c>
      <c r="C17" s="4" t="inlineStr">
        <is>
          <t>各计算表预留了足够行数（最多20行），需要更多行时可复制最后一行的公式向下填充。</t>
        </is>
      </c>
    </row>
    <row r="19" ht="28" customHeight="1">
      <c r="A19" s="2" t="inlineStr">
        <is>
          <t>【计算逻辑说明】</t>
        </is>
      </c>
    </row>
    <row r="20" ht="18" customHeight="1">
      <c r="B20" s="3" t="inlineStr">
        <is>
          <t>原料仓</t>
        </is>
      </c>
      <c r="C20" s="4" t="inlineStr">
        <is>
          <t>库存 = MAX(日均消耗×采购提前期天数, 最小订购量MOQ) + 安全库存 + 下一批次备料库存 + 换产退料库存 + 待检库存</t>
        </is>
      </c>
    </row>
    <row r="21" ht="18" customHeight="1">
      <c r="B21" s="3" t="inlineStr">
        <is>
          <t>过程品仓</t>
        </is>
      </c>
      <c r="C21" s="4" t="inlineStr">
        <is>
          <t>库存 = MAX(下游小时消耗×缓冲小时数, 批量大小×最大等待批次数) + 待检等待库存 + 尾批库存 + 不良品/返工/隔离库存</t>
        </is>
      </c>
    </row>
    <row r="22" ht="18" customHeight="1">
      <c r="B22" s="3" t="inlineStr">
        <is>
          <t>成品仓</t>
        </is>
      </c>
      <c r="C22" s="4" t="inlineStr">
        <is>
          <t>库存 = MAX(日需求量×生产间隔天数, 日需求量×目标库存天数, 最小生产批量) + 安全库存天数×日需求量 + 待检放行库存</t>
        </is>
      </c>
    </row>
    <row r="23" ht="18" customHeight="1">
      <c r="B23" s="3" t="inlineStr">
        <is>
          <t>面积估算</t>
        </is>
      </c>
      <c r="C23" s="4" t="inlineStr">
        <is>
          <t>仓库面积 = 库存量 ÷ 每托盘装载量 × 单托盘占地面积 ÷ 堆码层数 ÷ 面积利用率</t>
        </is>
      </c>
    </row>
    <row r="25" ht="28" customHeight="1">
      <c r="A25" s="2" t="inlineStr">
        <is>
          <t>【注意事项】</t>
        </is>
      </c>
    </row>
    <row r="26" ht="18" customHeight="1">
      <c r="B26" s="3" t="inlineStr">
        <is>
          <t>多SKU换产</t>
        </is>
      </c>
      <c r="C26" s="4" t="inlineStr">
        <is>
          <t>换产时会产生剩余退料（原料未用完退回），退料库存已在原料仓计算中单独考虑。</t>
        </is>
      </c>
    </row>
    <row r="27" ht="18" customHeight="1">
      <c r="B27" s="3" t="inlineStr">
        <is>
          <t>良率损耗</t>
        </is>
      </c>
      <c r="C27" s="4" t="inlineStr">
        <is>
          <t>BOM 表中需填写累计良率损耗系数（如工序1×工序2×工序3的综合良率倒数），以反映从原料到成品的实际消耗。</t>
        </is>
      </c>
    </row>
    <row r="28" ht="18" customHeight="1">
      <c r="B28" s="3" t="inlineStr">
        <is>
          <t>安全系数</t>
        </is>
      </c>
      <c r="C28" s="4" t="inlineStr">
        <is>
          <t>参数设置中的安全系数会乘以基础库存量，建议原料仓1.1~1.3，过程品仓1.1~1.2，成品仓1.1~1.2。</t>
        </is>
      </c>
    </row>
    <row r="29" ht="18" customHeight="1">
      <c r="B29" s="3" t="inlineStr">
        <is>
          <t>数量单位</t>
        </is>
      </c>
      <c r="C29" s="4" t="inlineStr">
        <is>
          <t>本表不限定单位，请在各表表头的单位列中注明所使用的单位（件、箱、吨、kg等），并保持全表一致。</t>
        </is>
      </c>
    </row>
  </sheetData>
  <mergeCells count="5">
    <mergeCell ref="A25:C25"/>
    <mergeCell ref="A19:C19"/>
    <mergeCell ref="A13:C13"/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2" customWidth="1" min="4" max="4"/>
    <col width="30" customWidth="1" min="5" max="5"/>
  </cols>
  <sheetData>
    <row r="1" ht="34" customHeight="1">
      <c r="A1" s="5" t="inlineStr">
        <is>
          <t>参数设置 — 全局通用参数</t>
        </is>
      </c>
    </row>
    <row r="2">
      <c r="A2" s="6" t="inlineStr"/>
      <c r="B2" s="6" t="inlineStr">
        <is>
          <t>参数名称</t>
        </is>
      </c>
      <c r="C2" s="6" t="inlineStr">
        <is>
          <t>数值</t>
        </is>
      </c>
      <c r="D2" s="6" t="inlineStr">
        <is>
          <t>单位</t>
        </is>
      </c>
      <c r="E2" s="6" t="inlineStr">
        <is>
          <t>说明</t>
        </is>
      </c>
    </row>
    <row r="3" ht="20" customHeight="1">
      <c r="B3" s="7" t="inlineStr">
        <is>
          <t>【生产基础参数】</t>
        </is>
      </c>
    </row>
    <row r="4" ht="20" customHeight="1">
      <c r="B4" s="8" t="inlineStr">
        <is>
          <t>年工作天数</t>
        </is>
      </c>
      <c r="C4" s="9" t="n">
        <v>300</v>
      </c>
      <c r="D4" s="8" t="inlineStr">
        <is>
          <t>天/年</t>
        </is>
      </c>
      <c r="E4" s="8" t="inlineStr">
        <is>
          <t>全年实际生产工作日，常用250~300天</t>
        </is>
      </c>
    </row>
    <row r="5" ht="20" customHeight="1">
      <c r="B5" s="8" t="inlineStr">
        <is>
          <t>每天工作小时数</t>
        </is>
      </c>
      <c r="C5" s="9" t="n">
        <v>20</v>
      </c>
      <c r="D5" s="8" t="inlineStr">
        <is>
          <t>小时/天</t>
        </is>
      </c>
      <c r="E5" s="8" t="inlineStr">
        <is>
          <t>含加班，用于计算小时产能</t>
        </is>
      </c>
    </row>
    <row r="6" ht="20" customHeight="1">
      <c r="B6" s="8" t="inlineStr">
        <is>
          <t>年工作小时数</t>
        </is>
      </c>
      <c r="C6" s="10">
        <f>参数设置!C4*参数设置!C5</f>
        <v/>
      </c>
      <c r="D6" s="8" t="inlineStr">
        <is>
          <t>小时/年</t>
        </is>
      </c>
      <c r="E6" s="8" t="inlineStr">
        <is>
          <t>自动计算 = 年工作天数 × 每天工作小时数</t>
        </is>
      </c>
    </row>
    <row r="7" ht="20" customHeight="1">
      <c r="B7" s="8" t="inlineStr">
        <is>
          <t>默认安全系数（原料仓）</t>
        </is>
      </c>
      <c r="C7" s="11" t="n">
        <v>1.2</v>
      </c>
      <c r="D7" s="8" t="inlineStr">
        <is>
          <t>—</t>
        </is>
      </c>
      <c r="E7" s="8" t="inlineStr">
        <is>
          <t>库存量乘以该系数以应对波动，建议1.1~1.3</t>
        </is>
      </c>
    </row>
    <row r="8" ht="20" customHeight="1">
      <c r="B8" s="8" t="inlineStr">
        <is>
          <t>默认安全系数（过程品仓）</t>
        </is>
      </c>
      <c r="C8" s="11" t="n">
        <v>1.15</v>
      </c>
      <c r="D8" s="8" t="inlineStr">
        <is>
          <t>—</t>
        </is>
      </c>
      <c r="E8" s="8" t="inlineStr">
        <is>
          <t>建议1.1~1.2</t>
        </is>
      </c>
    </row>
    <row r="9" ht="20" customHeight="1">
      <c r="B9" s="8" t="inlineStr">
        <is>
          <t>默认安全系数（成品仓）</t>
        </is>
      </c>
      <c r="C9" s="11" t="n">
        <v>1.2</v>
      </c>
      <c r="D9" s="8" t="inlineStr">
        <is>
          <t>—</t>
        </is>
      </c>
      <c r="E9" s="8" t="inlineStr">
        <is>
          <t>建议1.1~1.2</t>
        </is>
      </c>
    </row>
    <row r="10" ht="20" customHeight="1">
      <c r="B10" s="7" t="inlineStr">
        <is>
          <t>【托盘与存储参数】</t>
        </is>
      </c>
    </row>
    <row r="11" ht="20" customHeight="1">
      <c r="B11" s="8" t="inlineStr">
        <is>
          <t>标准托盘长度</t>
        </is>
      </c>
      <c r="C11" s="11" t="n">
        <v>1.2</v>
      </c>
      <c r="D11" s="8" t="inlineStr">
        <is>
          <t>m</t>
        </is>
      </c>
      <c r="E11" s="8" t="inlineStr">
        <is>
          <t>常用1.0m或1.2m</t>
        </is>
      </c>
    </row>
    <row r="12" ht="20" customHeight="1">
      <c r="B12" s="8" t="inlineStr">
        <is>
          <t>标准托盘宽度</t>
        </is>
      </c>
      <c r="C12" s="11" t="n">
        <v>1</v>
      </c>
      <c r="D12" s="8" t="inlineStr">
        <is>
          <t>m</t>
        </is>
      </c>
      <c r="E12" s="8" t="inlineStr">
        <is>
          <t>常用0.8m或1.0m</t>
        </is>
      </c>
    </row>
    <row r="13" ht="20" customHeight="1">
      <c r="B13" s="8" t="inlineStr">
        <is>
          <t>单托盘占地面积</t>
        </is>
      </c>
      <c r="C13" s="10">
        <f>参数设置!C11*参数设置!C12</f>
        <v/>
      </c>
      <c r="D13" s="8" t="inlineStr">
        <is>
          <t>m²/托</t>
        </is>
      </c>
      <c r="E13" s="8" t="inlineStr">
        <is>
          <t>自动计算 = 长 × 宽</t>
        </is>
      </c>
    </row>
    <row r="14" ht="20" customHeight="1">
      <c r="B14" s="8" t="inlineStr">
        <is>
          <t>地堆层数</t>
        </is>
      </c>
      <c r="C14" s="9" t="n">
        <v>2</v>
      </c>
      <c r="D14" s="8" t="inlineStr">
        <is>
          <t>层</t>
        </is>
      </c>
      <c r="E14" s="8" t="inlineStr">
        <is>
          <t>无货架时地面堆叠层数</t>
        </is>
      </c>
    </row>
    <row r="15" ht="20" customHeight="1">
      <c r="B15" s="8" t="inlineStr">
        <is>
          <t>货架层数（如有）</t>
        </is>
      </c>
      <c r="C15" s="9" t="n">
        <v>4</v>
      </c>
      <c r="D15" s="8" t="inlineStr">
        <is>
          <t>层</t>
        </is>
      </c>
      <c r="E15" s="8" t="inlineStr">
        <is>
          <t>有货架时使用货架层数，无货架填0</t>
        </is>
      </c>
    </row>
    <row r="16" ht="20" customHeight="1">
      <c r="B16" s="7" t="inlineStr">
        <is>
          <t>【面积利用率参数】</t>
        </is>
      </c>
    </row>
    <row r="17" ht="20" customHeight="1">
      <c r="B17" s="8" t="inlineStr">
        <is>
          <t>原料仓面积利用率</t>
        </is>
      </c>
      <c r="C17" s="11" t="n">
        <v>0.45</v>
      </c>
      <c r="D17" s="8" t="inlineStr">
        <is>
          <t>—</t>
        </is>
      </c>
      <c r="E17" s="8" t="inlineStr">
        <is>
          <t>通常35%~60%，含通道/叉车/消防等</t>
        </is>
      </c>
    </row>
    <row r="18" ht="20" customHeight="1">
      <c r="B18" s="8" t="inlineStr">
        <is>
          <t>过程品仓面积利用率</t>
        </is>
      </c>
      <c r="C18" s="11" t="n">
        <v>0.5</v>
      </c>
      <c r="D18" s="8" t="inlineStr">
        <is>
          <t>—</t>
        </is>
      </c>
      <c r="E18" s="8" t="inlineStr">
        <is>
          <t>通常40%~60%</t>
        </is>
      </c>
    </row>
    <row r="19" ht="20" customHeight="1">
      <c r="B19" s="8" t="inlineStr">
        <is>
          <t>成品仓面积利用率</t>
        </is>
      </c>
      <c r="C19" s="11" t="n">
        <v>0.5</v>
      </c>
      <c r="D19" s="8" t="inlineStr">
        <is>
          <t>—</t>
        </is>
      </c>
      <c r="E19" s="8" t="inlineStr">
        <is>
          <t>通常40%~60%</t>
        </is>
      </c>
    </row>
    <row r="20" ht="20" customHeight="1">
      <c r="B20" s="7" t="inlineStr">
        <is>
          <t>【扩展余量】</t>
        </is>
      </c>
    </row>
    <row r="21" ht="20" customHeight="1">
      <c r="B21" s="8" t="inlineStr">
        <is>
          <t>面积扩展余量系数</t>
        </is>
      </c>
      <c r="C21" s="11" t="n">
        <v>1.2</v>
      </c>
      <c r="D21" s="8" t="inlineStr">
        <is>
          <t>—</t>
        </is>
      </c>
      <c r="E21" s="8" t="inlineStr">
        <is>
          <t>最终面积乘以该系数，预留10%~30%余量</t>
        </is>
      </c>
    </row>
    <row r="23">
      <c r="B23" s="12" t="inlineStr">
        <is>
          <t>★ 其他工作表通过[参数设置!C行号]引用本表数值，请勿删除或移动行。</t>
        </is>
      </c>
    </row>
  </sheetData>
  <mergeCells count="5">
    <mergeCell ref="B16:E16"/>
    <mergeCell ref="A1:E1"/>
    <mergeCell ref="B3:E3"/>
    <mergeCell ref="B20:E20"/>
    <mergeCell ref="B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R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6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8" customWidth="1" min="18" max="18"/>
  </cols>
  <sheetData>
    <row r="1" ht="34" customHeight="1">
      <c r="A1" s="5" t="inlineStr">
        <is>
          <t>产品SKU — 产品级输入参数</t>
        </is>
      </c>
    </row>
    <row r="2" ht="48" customHeight="1">
      <c r="A2" s="6" t="inlineStr">
        <is>
          <t>行号</t>
        </is>
      </c>
      <c r="B2" s="6" t="inlineStr">
        <is>
          <t>产品编号/SKU</t>
        </is>
      </c>
      <c r="C2" s="6" t="inlineStr">
        <is>
          <t>产品名称</t>
        </is>
      </c>
      <c r="D2" s="6" t="inlineStr">
        <is>
          <t>单位</t>
        </is>
      </c>
      <c r="E2" s="6" t="inlineStr">
        <is>
          <t>年需求量
(件/年)</t>
        </is>
      </c>
      <c r="F2" s="6" t="inlineStr">
        <is>
          <t>月需求量
(件/月)
[自动]</t>
        </is>
      </c>
      <c r="G2" s="6" t="inlineStr">
        <is>
          <t>日需求量
(件/天)
[自动]</t>
        </is>
      </c>
      <c r="H2" s="6" t="inlineStr">
        <is>
          <t>最小生产
批量(件)</t>
        </is>
      </c>
      <c r="I2" s="6" t="inlineStr">
        <is>
          <t>生产间隔
(天)</t>
        </is>
      </c>
      <c r="J2" s="6" t="inlineStr">
        <is>
          <t>目标成品
库存天数</t>
        </is>
      </c>
      <c r="K2" s="6" t="inlineStr">
        <is>
          <t>安全库存
天数</t>
        </is>
      </c>
      <c r="L2" s="6" t="inlineStr">
        <is>
          <t>待检等待
天数</t>
        </is>
      </c>
      <c r="M2" s="6" t="inlineStr">
        <is>
          <t>成品每托
装载量(件)</t>
        </is>
      </c>
      <c r="N2" s="6" t="inlineStr">
        <is>
          <t>单件重量
(kg)</t>
        </is>
      </c>
      <c r="O2" s="6" t="inlineStr">
        <is>
          <t>过程品缓冲
小时数
(工序1后)</t>
        </is>
      </c>
      <c r="P2" s="6" t="inlineStr">
        <is>
          <t>过程品缓冲
小时数
(工序2后)</t>
        </is>
      </c>
      <c r="Q2" s="6" t="inlineStr">
        <is>
          <t>过程品缓冲
小时数
(工序3后)</t>
        </is>
      </c>
      <c r="R2" s="6" t="inlineStr">
        <is>
          <t>备注</t>
        </is>
      </c>
    </row>
    <row r="3" ht="20" customHeight="1">
      <c r="A3" s="13" t="n">
        <v>1</v>
      </c>
      <c r="B3" s="14" t="inlineStr">
        <is>
          <t>SKU-001</t>
        </is>
      </c>
      <c r="C3" s="14" t="inlineStr">
        <is>
          <t>产品A</t>
        </is>
      </c>
      <c r="D3" s="14" t="inlineStr">
        <is>
          <t>件</t>
        </is>
      </c>
      <c r="E3" s="9" t="n">
        <v>120000</v>
      </c>
      <c r="F3" s="10">
        <f>IFERROR(产品SKU!E3/12,"")</f>
        <v/>
      </c>
      <c r="G3" s="10">
        <f>IFERROR(产品SKU!E3/参数设置!$C$4,"")</f>
        <v/>
      </c>
      <c r="H3" s="9" t="n">
        <v>5000</v>
      </c>
      <c r="I3" s="9" t="n">
        <v>7</v>
      </c>
      <c r="J3" s="9" t="n">
        <v>14</v>
      </c>
      <c r="K3" s="9" t="n">
        <v>3</v>
      </c>
      <c r="L3" s="9" t="n">
        <v>2</v>
      </c>
      <c r="M3" s="9" t="n">
        <v>50</v>
      </c>
      <c r="N3" s="11" t="n">
        <v>0.5</v>
      </c>
      <c r="O3" s="11" t="n">
        <v>4</v>
      </c>
      <c r="P3" s="11" t="n">
        <v>6</v>
      </c>
      <c r="Q3" s="11" t="n">
        <v>8</v>
      </c>
      <c r="R3" s="14" t="inlineStr"/>
    </row>
    <row r="4" ht="20" customHeight="1">
      <c r="A4" s="13" t="n">
        <v>2</v>
      </c>
      <c r="B4" s="14" t="inlineStr">
        <is>
          <t>SKU-002</t>
        </is>
      </c>
      <c r="C4" s="14" t="inlineStr">
        <is>
          <t>产品B</t>
        </is>
      </c>
      <c r="D4" s="14" t="inlineStr">
        <is>
          <t>件</t>
        </is>
      </c>
      <c r="E4" s="9" t="n">
        <v>96000</v>
      </c>
      <c r="F4" s="10">
        <f>IFERROR(产品SKU!E4/12,"")</f>
        <v/>
      </c>
      <c r="G4" s="10">
        <f>IFERROR(产品SKU!E4/参数设置!$C$4,"")</f>
        <v/>
      </c>
      <c r="H4" s="9" t="n">
        <v>4000</v>
      </c>
      <c r="I4" s="9" t="n">
        <v>7</v>
      </c>
      <c r="J4" s="9" t="n">
        <v>14</v>
      </c>
      <c r="K4" s="9" t="n">
        <v>3</v>
      </c>
      <c r="L4" s="9" t="n">
        <v>2</v>
      </c>
      <c r="M4" s="9" t="n">
        <v>40</v>
      </c>
      <c r="N4" s="11" t="n">
        <v>0.6</v>
      </c>
      <c r="O4" s="11" t="n">
        <v>4</v>
      </c>
      <c r="P4" s="11" t="n">
        <v>6</v>
      </c>
      <c r="Q4" s="11" t="n">
        <v>8</v>
      </c>
      <c r="R4" s="14" t="inlineStr"/>
    </row>
    <row r="5" ht="20" customHeight="1">
      <c r="A5" s="13" t="n">
        <v>3</v>
      </c>
      <c r="B5" s="14" t="inlineStr">
        <is>
          <t>SKU-003</t>
        </is>
      </c>
      <c r="C5" s="14" t="inlineStr">
        <is>
          <t>产品C</t>
        </is>
      </c>
      <c r="D5" s="14" t="inlineStr">
        <is>
          <t>件</t>
        </is>
      </c>
      <c r="E5" s="9" t="n">
        <v>72000</v>
      </c>
      <c r="F5" s="10">
        <f>IFERROR(产品SKU!E5/12,"")</f>
        <v/>
      </c>
      <c r="G5" s="10">
        <f>IFERROR(产品SKU!E5/参数设置!$C$4,"")</f>
        <v/>
      </c>
      <c r="H5" s="9" t="n">
        <v>3000</v>
      </c>
      <c r="I5" s="9" t="n">
        <v>10</v>
      </c>
      <c r="J5" s="9" t="n">
        <v>15</v>
      </c>
      <c r="K5" s="9" t="n">
        <v>4</v>
      </c>
      <c r="L5" s="9" t="n">
        <v>2</v>
      </c>
      <c r="M5" s="9" t="n">
        <v>30</v>
      </c>
      <c r="N5" s="11" t="n">
        <v>0.8</v>
      </c>
      <c r="O5" s="11" t="n">
        <v>3</v>
      </c>
      <c r="P5" s="11" t="n">
        <v>5</v>
      </c>
      <c r="Q5" s="11" t="n">
        <v>7</v>
      </c>
      <c r="R5" s="14" t="inlineStr"/>
    </row>
    <row r="6" ht="20" customHeight="1">
      <c r="A6" s="13" t="n">
        <v>4</v>
      </c>
      <c r="B6" s="14" t="inlineStr">
        <is>
          <t>SKU-004</t>
        </is>
      </c>
      <c r="C6" s="14" t="inlineStr">
        <is>
          <t>产品D</t>
        </is>
      </c>
      <c r="D6" s="14" t="inlineStr">
        <is>
          <t>件</t>
        </is>
      </c>
      <c r="E6" s="9" t="n">
        <v>60000</v>
      </c>
      <c r="F6" s="10">
        <f>IFERROR(产品SKU!E6/12,"")</f>
        <v/>
      </c>
      <c r="G6" s="10">
        <f>IFERROR(产品SKU!E6/参数设置!$C$4,"")</f>
        <v/>
      </c>
      <c r="H6" s="9" t="n">
        <v>3000</v>
      </c>
      <c r="I6" s="9" t="n">
        <v>10</v>
      </c>
      <c r="J6" s="9" t="n">
        <v>15</v>
      </c>
      <c r="K6" s="9" t="n">
        <v>4</v>
      </c>
      <c r="L6" s="9" t="n">
        <v>2</v>
      </c>
      <c r="M6" s="9" t="n">
        <v>60</v>
      </c>
      <c r="N6" s="11" t="n">
        <v>0.4</v>
      </c>
      <c r="O6" s="11" t="n">
        <v>3</v>
      </c>
      <c r="P6" s="11" t="n">
        <v>5</v>
      </c>
      <c r="Q6" s="11" t="n">
        <v>7</v>
      </c>
      <c r="R6" s="14" t="inlineStr"/>
    </row>
    <row r="7" ht="20" customHeight="1">
      <c r="A7" s="13" t="n">
        <v>5</v>
      </c>
      <c r="B7" s="14" t="inlineStr">
        <is>
          <t>SKU-005</t>
        </is>
      </c>
      <c r="C7" s="14" t="inlineStr">
        <is>
          <t>产品E</t>
        </is>
      </c>
      <c r="D7" s="14" t="inlineStr">
        <is>
          <t>件</t>
        </is>
      </c>
      <c r="E7" s="9" t="n">
        <v>48000</v>
      </c>
      <c r="F7" s="10">
        <f>IFERROR(产品SKU!E7/12,"")</f>
        <v/>
      </c>
      <c r="G7" s="10">
        <f>IFERROR(产品SKU!E7/参数设置!$C$4,"")</f>
        <v/>
      </c>
      <c r="H7" s="9" t="n">
        <v>2000</v>
      </c>
      <c r="I7" s="9" t="n">
        <v>14</v>
      </c>
      <c r="J7" s="9" t="n">
        <v>20</v>
      </c>
      <c r="K7" s="9" t="n">
        <v>5</v>
      </c>
      <c r="L7" s="9" t="n">
        <v>3</v>
      </c>
      <c r="M7" s="9" t="n">
        <v>50</v>
      </c>
      <c r="N7" s="11" t="n">
        <v>0.5</v>
      </c>
      <c r="O7" s="11" t="n">
        <v>4</v>
      </c>
      <c r="P7" s="11" t="n">
        <v>6</v>
      </c>
      <c r="Q7" s="11" t="n">
        <v>8</v>
      </c>
      <c r="R7" s="14" t="inlineStr"/>
    </row>
    <row r="8" ht="20" customHeight="1">
      <c r="A8" s="13" t="n">
        <v>6</v>
      </c>
      <c r="B8" s="14" t="inlineStr">
        <is>
          <t>SKU-006</t>
        </is>
      </c>
      <c r="C8" s="14" t="inlineStr">
        <is>
          <t>产品F</t>
        </is>
      </c>
      <c r="D8" s="14" t="inlineStr">
        <is>
          <t>件</t>
        </is>
      </c>
      <c r="E8" s="9" t="n">
        <v>36000</v>
      </c>
      <c r="F8" s="10">
        <f>IFERROR(产品SKU!E8/12,"")</f>
        <v/>
      </c>
      <c r="G8" s="10">
        <f>IFERROR(产品SKU!E8/参数设置!$C$4,"")</f>
        <v/>
      </c>
      <c r="H8" s="9" t="n">
        <v>2000</v>
      </c>
      <c r="I8" s="9" t="n">
        <v>14</v>
      </c>
      <c r="J8" s="9" t="n">
        <v>20</v>
      </c>
      <c r="K8" s="9" t="n">
        <v>5</v>
      </c>
      <c r="L8" s="9" t="n">
        <v>3</v>
      </c>
      <c r="M8" s="9" t="n">
        <v>40</v>
      </c>
      <c r="N8" s="11" t="n">
        <v>0.7</v>
      </c>
      <c r="O8" s="11" t="n">
        <v>4</v>
      </c>
      <c r="P8" s="11" t="n">
        <v>6</v>
      </c>
      <c r="Q8" s="11" t="n">
        <v>8</v>
      </c>
      <c r="R8" s="14" t="inlineStr"/>
    </row>
    <row r="9" ht="20" customHeight="1">
      <c r="A9" s="13" t="n">
        <v>7</v>
      </c>
      <c r="B9" s="14" t="inlineStr">
        <is>
          <t>SKU-007</t>
        </is>
      </c>
      <c r="C9" s="14" t="inlineStr">
        <is>
          <t>产品G</t>
        </is>
      </c>
      <c r="D9" s="14" t="inlineStr">
        <is>
          <t>件</t>
        </is>
      </c>
      <c r="E9" s="9" t="n">
        <v>24000</v>
      </c>
      <c r="F9" s="10">
        <f>IFERROR(产品SKU!E9/12,"")</f>
        <v/>
      </c>
      <c r="G9" s="10">
        <f>IFERROR(产品SKU!E9/参数设置!$C$4,"")</f>
        <v/>
      </c>
      <c r="H9" s="9" t="n">
        <v>1500</v>
      </c>
      <c r="I9" s="9" t="n">
        <v>21</v>
      </c>
      <c r="J9" s="9" t="n">
        <v>21</v>
      </c>
      <c r="K9" s="9" t="n">
        <v>7</v>
      </c>
      <c r="L9" s="9" t="n">
        <v>3</v>
      </c>
      <c r="M9" s="9" t="n">
        <v>30</v>
      </c>
      <c r="N9" s="11" t="n">
        <v>1</v>
      </c>
      <c r="O9" s="11" t="n">
        <v>3</v>
      </c>
      <c r="P9" s="11" t="n">
        <v>5</v>
      </c>
      <c r="Q9" s="11" t="n">
        <v>7</v>
      </c>
      <c r="R9" s="14" t="inlineStr"/>
    </row>
    <row r="10" ht="20" customHeight="1">
      <c r="A10" s="13" t="n">
        <v>8</v>
      </c>
      <c r="B10" s="14" t="inlineStr">
        <is>
          <t>SKU-008</t>
        </is>
      </c>
      <c r="C10" s="14" t="inlineStr">
        <is>
          <t>产品H</t>
        </is>
      </c>
      <c r="D10" s="14" t="inlineStr">
        <is>
          <t>件</t>
        </is>
      </c>
      <c r="E10" s="9" t="n">
        <v>18000</v>
      </c>
      <c r="F10" s="10">
        <f>IFERROR(产品SKU!E10/12,"")</f>
        <v/>
      </c>
      <c r="G10" s="10">
        <f>IFERROR(产品SKU!E10/参数设置!$C$4,"")</f>
        <v/>
      </c>
      <c r="H10" s="9" t="n">
        <v>1500</v>
      </c>
      <c r="I10" s="9" t="n">
        <v>21</v>
      </c>
      <c r="J10" s="9" t="n">
        <v>21</v>
      </c>
      <c r="K10" s="9" t="n">
        <v>7</v>
      </c>
      <c r="L10" s="9" t="n">
        <v>3</v>
      </c>
      <c r="M10" s="9" t="n">
        <v>25</v>
      </c>
      <c r="N10" s="11" t="n">
        <v>1.2</v>
      </c>
      <c r="O10" s="11" t="n">
        <v>3</v>
      </c>
      <c r="P10" s="11" t="n">
        <v>5</v>
      </c>
      <c r="Q10" s="11" t="n">
        <v>7</v>
      </c>
      <c r="R10" s="14" t="inlineStr"/>
    </row>
    <row r="11" ht="20" customHeight="1">
      <c r="A11" t="n">
        <v>9</v>
      </c>
      <c r="B11" s="14" t="n"/>
      <c r="C11" s="14" t="n"/>
      <c r="D11" s="14" t="n"/>
      <c r="E11" s="14" t="n"/>
      <c r="F11" s="10">
        <f>IFERROR(产品SKU!E11/12,"")</f>
        <v/>
      </c>
      <c r="G11" s="10">
        <f>IFERROR(产品SKU!E11/参数设置!$C$4,"")</f>
        <v/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</row>
    <row r="12" ht="20" customHeight="1">
      <c r="A12" t="n">
        <v>10</v>
      </c>
      <c r="B12" s="14" t="n"/>
      <c r="C12" s="14" t="n"/>
      <c r="D12" s="14" t="n"/>
      <c r="E12" s="14" t="n"/>
      <c r="F12" s="10">
        <f>IFERROR(产品SKU!E12/12,"")</f>
        <v/>
      </c>
      <c r="G12" s="10">
        <f>IFERROR(产品SKU!E12/参数设置!$C$4,"")</f>
        <v/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</row>
    <row r="13" ht="20" customHeight="1">
      <c r="A13" t="n">
        <v>11</v>
      </c>
      <c r="B13" s="14" t="n"/>
      <c r="C13" s="14" t="n"/>
      <c r="D13" s="14" t="n"/>
      <c r="E13" s="14" t="n"/>
      <c r="F13" s="10">
        <f>IFERROR(产品SKU!E13/12,"")</f>
        <v/>
      </c>
      <c r="G13" s="10">
        <f>IFERROR(产品SKU!E13/参数设置!$C$4,"")</f>
        <v/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</row>
    <row r="14" ht="20" customHeight="1">
      <c r="A14" t="n">
        <v>12</v>
      </c>
      <c r="B14" s="14" t="n"/>
      <c r="C14" s="14" t="n"/>
      <c r="D14" s="14" t="n"/>
      <c r="E14" s="14" t="n"/>
      <c r="F14" s="10">
        <f>IFERROR(产品SKU!E14/12,"")</f>
        <v/>
      </c>
      <c r="G14" s="10">
        <f>IFERROR(产品SKU!E14/参数设置!$C$4,"")</f>
        <v/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P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4" customHeight="1">
      <c r="A1" s="5" t="inlineStr">
        <is>
          <t>原料BOM — 产品-原料消耗矩阵</t>
        </is>
      </c>
    </row>
    <row r="2" ht="28" customHeight="1">
      <c r="A2" s="15" t="inlineStr">
        <is>
          <t>填写说明：对应单元格填写每生产1件该SKU成品所消耗的该原料数量(已含良率损耗)，单位须与原料仓计算中一致；若该SKU不使用该原料，填0或留空。</t>
        </is>
      </c>
    </row>
    <row r="3" ht="36" customHeight="1">
      <c r="A3" s="6" t="inlineStr">
        <is>
          <t>行号</t>
        </is>
      </c>
      <c r="B3" s="6" t="inlineStr">
        <is>
          <t>原料编号</t>
        </is>
      </c>
      <c r="C3" s="6" t="inlineStr">
        <is>
          <t>原料名称</t>
        </is>
      </c>
      <c r="D3" s="6" t="inlineStr">
        <is>
          <t>单位</t>
        </is>
      </c>
      <c r="E3" s="6">
        <f>IFERROR(产品SKU!B3,"SKU-01")</f>
        <v/>
      </c>
      <c r="F3" s="6">
        <f>IFERROR(产品SKU!B4,"SKU-02")</f>
        <v/>
      </c>
      <c r="G3" s="6">
        <f>IFERROR(产品SKU!B5,"SKU-03")</f>
        <v/>
      </c>
      <c r="H3" s="6">
        <f>IFERROR(产品SKU!B6,"SKU-04")</f>
        <v/>
      </c>
      <c r="I3" s="6">
        <f>IFERROR(产品SKU!B7,"SKU-05")</f>
        <v/>
      </c>
      <c r="J3" s="6">
        <f>IFERROR(产品SKU!B8,"SKU-06")</f>
        <v/>
      </c>
      <c r="K3" s="6">
        <f>IFERROR(产品SKU!B9,"SKU-07")</f>
        <v/>
      </c>
      <c r="L3" s="6">
        <f>IFERROR(产品SKU!B10,"SKU-08")</f>
        <v/>
      </c>
      <c r="M3" s="6">
        <f>IFERROR(产品SKU!B11,"SKU-09")</f>
        <v/>
      </c>
      <c r="N3" s="6">
        <f>IFERROR(产品SKU!B12,"SKU-10")</f>
        <v/>
      </c>
      <c r="O3" s="6">
        <f>IFERROR(产品SKU!B13,"SKU-11")</f>
        <v/>
      </c>
      <c r="P3" s="6">
        <f>IFERROR(产品SKU!B14,"SKU-12")</f>
        <v/>
      </c>
    </row>
    <row r="4" ht="20" customHeight="1">
      <c r="A4" s="13" t="n">
        <v>1</v>
      </c>
      <c r="B4" s="14" t="inlineStr">
        <is>
          <t>RM-001</t>
        </is>
      </c>
      <c r="C4" s="14" t="inlineStr">
        <is>
          <t>原料甲</t>
        </is>
      </c>
      <c r="D4" s="14" t="inlineStr">
        <is>
          <t>kg</t>
        </is>
      </c>
      <c r="E4" s="11" t="n">
        <v>1.2</v>
      </c>
      <c r="F4" s="11" t="n">
        <v>1.1</v>
      </c>
      <c r="G4" s="11" t="n"/>
      <c r="H4" s="11" t="n"/>
      <c r="I4" s="11" t="n">
        <v>0.8</v>
      </c>
      <c r="J4" s="11" t="n">
        <v>0.8</v>
      </c>
      <c r="K4" s="11" t="n"/>
      <c r="L4" s="11" t="n"/>
    </row>
    <row r="5" ht="20" customHeight="1">
      <c r="A5" s="13" t="n">
        <v>2</v>
      </c>
      <c r="B5" s="14" t="inlineStr">
        <is>
          <t>RM-002</t>
        </is>
      </c>
      <c r="C5" s="14" t="inlineStr">
        <is>
          <t>原料乙</t>
        </is>
      </c>
      <c r="D5" s="14" t="inlineStr">
        <is>
          <t>kg</t>
        </is>
      </c>
      <c r="E5" s="11" t="n">
        <v>0.5</v>
      </c>
      <c r="F5" s="11" t="n"/>
      <c r="G5" s="11" t="n">
        <v>0.6</v>
      </c>
      <c r="H5" s="11" t="n">
        <v>0.6</v>
      </c>
      <c r="I5" s="11" t="n"/>
      <c r="J5" s="11" t="n"/>
      <c r="K5" s="11" t="n">
        <v>0.4</v>
      </c>
      <c r="L5" s="11" t="n">
        <v>0.4</v>
      </c>
    </row>
    <row r="6" ht="20" customHeight="1">
      <c r="A6" s="13" t="n">
        <v>3</v>
      </c>
      <c r="B6" s="14" t="inlineStr">
        <is>
          <t>RM-003</t>
        </is>
      </c>
      <c r="C6" s="14" t="inlineStr">
        <is>
          <t>原料丙</t>
        </is>
      </c>
      <c r="D6" s="14" t="inlineStr">
        <is>
          <t>m</t>
        </is>
      </c>
      <c r="E6" s="11" t="n">
        <v>0.3</v>
      </c>
      <c r="F6" s="11" t="n">
        <v>0.3</v>
      </c>
      <c r="G6" s="11" t="n">
        <v>0.3</v>
      </c>
      <c r="H6" s="11" t="n"/>
      <c r="I6" s="11" t="n">
        <v>0.3</v>
      </c>
      <c r="J6" s="11" t="n"/>
      <c r="K6" s="11" t="n">
        <v>0.3</v>
      </c>
      <c r="L6" s="11" t="n"/>
    </row>
    <row r="7" ht="20" customHeight="1">
      <c r="A7" s="13" t="n">
        <v>4</v>
      </c>
      <c r="B7" s="14" t="inlineStr">
        <is>
          <t>RM-004</t>
        </is>
      </c>
      <c r="C7" s="14" t="inlineStr">
        <is>
          <t>原料丁</t>
        </is>
      </c>
      <c r="D7" s="14" t="inlineStr">
        <is>
          <t>片</t>
        </is>
      </c>
      <c r="E7" s="11" t="n">
        <v>2</v>
      </c>
      <c r="F7" s="11" t="n">
        <v>2</v>
      </c>
      <c r="G7" s="11" t="n">
        <v>2</v>
      </c>
      <c r="H7" s="11" t="n">
        <v>2</v>
      </c>
      <c r="I7" s="11" t="n"/>
      <c r="J7" s="11" t="n"/>
      <c r="K7" s="11" t="n"/>
      <c r="L7" s="11" t="n"/>
    </row>
    <row r="8" ht="20" customHeight="1">
      <c r="A8" s="13" t="n">
        <v>5</v>
      </c>
      <c r="B8" s="14" t="inlineStr">
        <is>
          <t>RM-005</t>
        </is>
      </c>
      <c r="C8" s="14" t="inlineStr">
        <is>
          <t>辅料A</t>
        </is>
      </c>
      <c r="D8" s="14" t="inlineStr">
        <is>
          <t>g</t>
        </is>
      </c>
      <c r="E8" s="11" t="n">
        <v>5</v>
      </c>
      <c r="F8" s="11" t="n">
        <v>5</v>
      </c>
      <c r="G8" s="11" t="n">
        <v>5</v>
      </c>
      <c r="H8" s="11" t="n">
        <v>5</v>
      </c>
      <c r="I8" s="11" t="n">
        <v>5</v>
      </c>
      <c r="J8" s="11" t="n">
        <v>5</v>
      </c>
      <c r="K8" s="11" t="n">
        <v>5</v>
      </c>
      <c r="L8" s="11" t="n">
        <v>5</v>
      </c>
    </row>
    <row r="9" ht="20" customHeight="1">
      <c r="A9" s="13" t="n">
        <v>6</v>
      </c>
      <c r="B9" s="14" t="inlineStr">
        <is>
          <t>RM-006</t>
        </is>
      </c>
      <c r="C9" s="14" t="inlineStr">
        <is>
          <t>辅料B</t>
        </is>
      </c>
      <c r="D9" s="14" t="inlineStr">
        <is>
          <t>mL</t>
        </is>
      </c>
      <c r="E9" s="11" t="n">
        <v>2</v>
      </c>
      <c r="F9" s="11" t="n">
        <v>2</v>
      </c>
      <c r="G9" s="11" t="n">
        <v>2</v>
      </c>
      <c r="H9" s="11" t="n">
        <v>2</v>
      </c>
      <c r="I9" s="11" t="n">
        <v>2</v>
      </c>
      <c r="J9" s="11" t="n">
        <v>2</v>
      </c>
      <c r="K9" s="11" t="n">
        <v>2</v>
      </c>
      <c r="L9" s="11" t="n">
        <v>2</v>
      </c>
    </row>
    <row r="10" ht="20" customHeight="1">
      <c r="A10" s="13" t="n">
        <v>7</v>
      </c>
      <c r="B10" s="14" t="inlineStr">
        <is>
          <t>RM-007</t>
        </is>
      </c>
      <c r="C10" s="14" t="inlineStr">
        <is>
          <t>包装材料X</t>
        </is>
      </c>
      <c r="D10" s="14" t="inlineStr">
        <is>
          <t>个</t>
        </is>
      </c>
      <c r="E10" s="11" t="n">
        <v>1</v>
      </c>
      <c r="F10" s="11" t="n">
        <v>1</v>
      </c>
      <c r="G10" s="11" t="n">
        <v>1</v>
      </c>
      <c r="H10" s="11" t="n">
        <v>1</v>
      </c>
      <c r="I10" s="11" t="n">
        <v>1</v>
      </c>
      <c r="J10" s="11" t="n">
        <v>1</v>
      </c>
      <c r="K10" s="11" t="n">
        <v>1</v>
      </c>
      <c r="L10" s="11" t="n">
        <v>1</v>
      </c>
    </row>
    <row r="11" ht="20" customHeight="1">
      <c r="A11" s="13" t="n">
        <v>8</v>
      </c>
      <c r="B11" s="14" t="inlineStr">
        <is>
          <t>RM-008</t>
        </is>
      </c>
      <c r="C11" s="14" t="inlineStr">
        <is>
          <t>包装材料Y</t>
        </is>
      </c>
      <c r="D11" s="14" t="inlineStr">
        <is>
          <t>个</t>
        </is>
      </c>
      <c r="E11" s="11" t="n"/>
      <c r="F11" s="11" t="n"/>
      <c r="G11" s="11" t="n">
        <v>1</v>
      </c>
      <c r="H11" s="11" t="n">
        <v>1</v>
      </c>
      <c r="I11" s="11" t="n">
        <v>1</v>
      </c>
      <c r="J11" s="11" t="n">
        <v>1</v>
      </c>
      <c r="K11" s="11" t="n">
        <v>1</v>
      </c>
      <c r="L11" s="11" t="n">
        <v>1</v>
      </c>
    </row>
    <row r="12" ht="20" customHeight="1">
      <c r="A12" t="n">
        <v>9</v>
      </c>
      <c r="B12" s="14" t="n"/>
      <c r="C12" s="14" t="n"/>
      <c r="D12" s="14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</row>
    <row r="13" ht="20" customHeight="1">
      <c r="A13" t="n">
        <v>10</v>
      </c>
      <c r="B13" s="14" t="n"/>
      <c r="C13" s="14" t="n"/>
      <c r="D13" s="14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</row>
    <row r="14" ht="20" customHeight="1">
      <c r="A14" t="n">
        <v>11</v>
      </c>
      <c r="B14" s="14" t="n"/>
      <c r="C14" s="14" t="n"/>
      <c r="D14" s="14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</row>
    <row r="15" ht="20" customHeight="1">
      <c r="A15" t="n">
        <v>12</v>
      </c>
      <c r="B15" s="14" t="n"/>
      <c r="C15" s="14" t="n"/>
      <c r="D15" s="14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</row>
    <row r="16" ht="20" customHeight="1">
      <c r="A16" t="n">
        <v>13</v>
      </c>
      <c r="B16" s="14" t="n"/>
      <c r="C16" s="14" t="n"/>
      <c r="D16" s="14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</row>
    <row r="17" ht="20" customHeight="1">
      <c r="A17" t="n">
        <v>14</v>
      </c>
      <c r="B17" s="14" t="n"/>
      <c r="C17" s="14" t="n"/>
      <c r="D17" s="14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</row>
    <row r="18" ht="20" customHeight="1">
      <c r="A18" t="n">
        <v>15</v>
      </c>
      <c r="B18" s="14" t="n"/>
      <c r="C18" s="14" t="n"/>
      <c r="D18" s="14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</row>
  </sheetData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P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6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4" customWidth="1" min="16" max="16"/>
  </cols>
  <sheetData>
    <row r="1" ht="34" customHeight="1">
      <c r="A1" s="5" t="inlineStr">
        <is>
          <t>原料仓计算 — 设计库存量</t>
        </is>
      </c>
    </row>
    <row r="2" ht="24" customHeight="1">
      <c r="A2" s="15" t="inlineStr">
        <is>
          <t>公式：设计库存 = MAX(日均消耗×采购提前期, MOQ) × 安全系数 + 安全库存 + 下批备料库存 + 换产退料库存 + 待检库存</t>
        </is>
      </c>
    </row>
    <row r="3" ht="48" customHeight="1">
      <c r="A3" s="6" t="inlineStr">
        <is>
          <t>行号</t>
        </is>
      </c>
      <c r="B3" s="6" t="inlineStr">
        <is>
          <t>原料编号</t>
        </is>
      </c>
      <c r="C3" s="6" t="inlineStr">
        <is>
          <t>原料名称</t>
        </is>
      </c>
      <c r="D3" s="6" t="inlineStr">
        <is>
          <t>单位</t>
        </is>
      </c>
      <c r="E3" s="6" t="inlineStr">
        <is>
          <t>日均总消耗量
[自动]</t>
        </is>
      </c>
      <c r="F3" s="6" t="inlineStr">
        <is>
          <t>采购提前期
(天)</t>
        </is>
      </c>
      <c r="G3" s="6" t="inlineStr">
        <is>
          <t>最小订购量
MOQ</t>
        </is>
      </c>
      <c r="H3" s="6" t="inlineStr">
        <is>
          <t>安全系数</t>
        </is>
      </c>
      <c r="I3" s="6" t="inlineStr">
        <is>
          <t>安全库存量
(件)</t>
        </is>
      </c>
      <c r="J3" s="6" t="inlineStr">
        <is>
          <t>下批备料
库存量</t>
        </is>
      </c>
      <c r="K3" s="6" t="inlineStr">
        <is>
          <t>换产退料
库存量</t>
        </is>
      </c>
      <c r="L3" s="6" t="inlineStr">
        <is>
          <t>待检库存量</t>
        </is>
      </c>
      <c r="M3" s="6" t="inlineStr">
        <is>
          <t>设计库存量
[自动]</t>
        </is>
      </c>
      <c r="N3" s="6" t="inlineStr">
        <is>
          <t>每托盘装量</t>
        </is>
      </c>
      <c r="O3" s="6" t="inlineStr">
        <is>
          <t>设计托盘数
[自动]</t>
        </is>
      </c>
      <c r="P3" s="6" t="inlineStr">
        <is>
          <t>估算占地面积
(m²)[自动]</t>
        </is>
      </c>
    </row>
    <row r="4" ht="20" customHeight="1">
      <c r="A4" s="13" t="n">
        <v>1</v>
      </c>
      <c r="B4" s="16">
        <f>IFERROR(原料BOM!B4,"")</f>
        <v/>
      </c>
      <c r="C4" s="16">
        <f>IFERROR(原料BOM!C4,"")</f>
        <v/>
      </c>
      <c r="D4" s="16">
        <f>IFERROR(原料BOM!D4,"")</f>
        <v/>
      </c>
      <c r="E4" s="10">
        <f>IFERROR(SUMPRODUCT(原料BOM!E4:P4,产品SKU!$G$3:产品SKU!$G$14),0)</f>
        <v/>
      </c>
      <c r="F4" s="9" t="n">
        <v>15</v>
      </c>
      <c r="G4" s="9" t="n"/>
      <c r="H4" s="10">
        <f>参数设置!$C$7</f>
        <v/>
      </c>
      <c r="I4" s="9" t="n"/>
      <c r="J4" s="9" t="n"/>
      <c r="K4" s="9" t="n"/>
      <c r="L4" s="9" t="n"/>
      <c r="M4" s="10">
        <f>IFERROR(MAX(原料仓计算!E4*原料仓计算!F4,IF(原料仓计算!G4="",0,原料仓计算!G4))*原料仓计算!H4+IF(原料仓计算!I4="",0,原料仓计算!I4)+IF(原料仓计算!J4="",0,原料仓计算!J4)+IF(原料仓计算!K4="",0,原料仓计算!K4)+IF(原料仓计算!L4="",0,原料仓计算!L4),0)</f>
        <v/>
      </c>
      <c r="N4" s="9" t="n"/>
      <c r="O4" s="17">
        <f>IFERROR(CEILING(原料仓计算!M4/IF(原料仓计算!N4=0,1,原料仓计算!N4),1),0)</f>
        <v/>
      </c>
      <c r="P4" s="10">
        <f>IFERROR(原料仓计算!O4*参数设置!$C$13/MAX(参数设置!$C$14,1)/参数设置!$C$17*参数设置!$C$21,0)</f>
        <v/>
      </c>
    </row>
    <row r="5" ht="20" customHeight="1">
      <c r="A5" s="13" t="n">
        <v>2</v>
      </c>
      <c r="B5" s="16">
        <f>IFERROR(原料BOM!B5,"")</f>
        <v/>
      </c>
      <c r="C5" s="16">
        <f>IFERROR(原料BOM!C5,"")</f>
        <v/>
      </c>
      <c r="D5" s="16">
        <f>IFERROR(原料BOM!D5,"")</f>
        <v/>
      </c>
      <c r="E5" s="10">
        <f>IFERROR(SUMPRODUCT(原料BOM!E5:P5,产品SKU!$G$3:产品SKU!$G$14),0)</f>
        <v/>
      </c>
      <c r="F5" s="9" t="n">
        <v>15</v>
      </c>
      <c r="G5" s="9" t="n"/>
      <c r="H5" s="10">
        <f>参数设置!$C$7</f>
        <v/>
      </c>
      <c r="I5" s="9" t="n"/>
      <c r="J5" s="9" t="n"/>
      <c r="K5" s="9" t="n"/>
      <c r="L5" s="9" t="n"/>
      <c r="M5" s="10">
        <f>IFERROR(MAX(原料仓计算!E5*原料仓计算!F5,IF(原料仓计算!G5="",0,原料仓计算!G5))*原料仓计算!H5+IF(原料仓计算!I5="",0,原料仓计算!I5)+IF(原料仓计算!J5="",0,原料仓计算!J5)+IF(原料仓计算!K5="",0,原料仓计算!K5)+IF(原料仓计算!L5="",0,原料仓计算!L5),0)</f>
        <v/>
      </c>
      <c r="N5" s="9" t="n"/>
      <c r="O5" s="17">
        <f>IFERROR(CEILING(原料仓计算!M5/IF(原料仓计算!N5=0,1,原料仓计算!N5),1),0)</f>
        <v/>
      </c>
      <c r="P5" s="10">
        <f>IFERROR(原料仓计算!O5*参数设置!$C$13/MAX(参数设置!$C$14,1)/参数设置!$C$17*参数设置!$C$21,0)</f>
        <v/>
      </c>
    </row>
    <row r="6" ht="20" customHeight="1">
      <c r="A6" s="13" t="n">
        <v>3</v>
      </c>
      <c r="B6" s="16">
        <f>IFERROR(原料BOM!B6,"")</f>
        <v/>
      </c>
      <c r="C6" s="16">
        <f>IFERROR(原料BOM!C6,"")</f>
        <v/>
      </c>
      <c r="D6" s="16">
        <f>IFERROR(原料BOM!D6,"")</f>
        <v/>
      </c>
      <c r="E6" s="10">
        <f>IFERROR(SUMPRODUCT(原料BOM!E6:P6,产品SKU!$G$3:产品SKU!$G$14),0)</f>
        <v/>
      </c>
      <c r="F6" s="9" t="n">
        <v>15</v>
      </c>
      <c r="G6" s="9" t="n"/>
      <c r="H6" s="10">
        <f>参数设置!$C$7</f>
        <v/>
      </c>
      <c r="I6" s="9" t="n"/>
      <c r="J6" s="9" t="n"/>
      <c r="K6" s="9" t="n"/>
      <c r="L6" s="9" t="n"/>
      <c r="M6" s="10">
        <f>IFERROR(MAX(原料仓计算!E6*原料仓计算!F6,IF(原料仓计算!G6="",0,原料仓计算!G6))*原料仓计算!H6+IF(原料仓计算!I6="",0,原料仓计算!I6)+IF(原料仓计算!J6="",0,原料仓计算!J6)+IF(原料仓计算!K6="",0,原料仓计算!K6)+IF(原料仓计算!L6="",0,原料仓计算!L6),0)</f>
        <v/>
      </c>
      <c r="N6" s="9" t="n"/>
      <c r="O6" s="17">
        <f>IFERROR(CEILING(原料仓计算!M6/IF(原料仓计算!N6=0,1,原料仓计算!N6),1),0)</f>
        <v/>
      </c>
      <c r="P6" s="10">
        <f>IFERROR(原料仓计算!O6*参数设置!$C$13/MAX(参数设置!$C$14,1)/参数设置!$C$17*参数设置!$C$21,0)</f>
        <v/>
      </c>
    </row>
    <row r="7" ht="20" customHeight="1">
      <c r="A7" s="13" t="n">
        <v>4</v>
      </c>
      <c r="B7" s="16">
        <f>IFERROR(原料BOM!B7,"")</f>
        <v/>
      </c>
      <c r="C7" s="16">
        <f>IFERROR(原料BOM!C7,"")</f>
        <v/>
      </c>
      <c r="D7" s="16">
        <f>IFERROR(原料BOM!D7,"")</f>
        <v/>
      </c>
      <c r="E7" s="10">
        <f>IFERROR(SUMPRODUCT(原料BOM!E7:P7,产品SKU!$G$3:产品SKU!$G$14),0)</f>
        <v/>
      </c>
      <c r="F7" s="9" t="n">
        <v>15</v>
      </c>
      <c r="G7" s="9" t="n"/>
      <c r="H7" s="10">
        <f>参数设置!$C$7</f>
        <v/>
      </c>
      <c r="I7" s="9" t="n"/>
      <c r="J7" s="9" t="n"/>
      <c r="K7" s="9" t="n"/>
      <c r="L7" s="9" t="n"/>
      <c r="M7" s="10">
        <f>IFERROR(MAX(原料仓计算!E7*原料仓计算!F7,IF(原料仓计算!G7="",0,原料仓计算!G7))*原料仓计算!H7+IF(原料仓计算!I7="",0,原料仓计算!I7)+IF(原料仓计算!J7="",0,原料仓计算!J7)+IF(原料仓计算!K7="",0,原料仓计算!K7)+IF(原料仓计算!L7="",0,原料仓计算!L7),0)</f>
        <v/>
      </c>
      <c r="N7" s="9" t="n"/>
      <c r="O7" s="17">
        <f>IFERROR(CEILING(原料仓计算!M7/IF(原料仓计算!N7=0,1,原料仓计算!N7),1),0)</f>
        <v/>
      </c>
      <c r="P7" s="10">
        <f>IFERROR(原料仓计算!O7*参数设置!$C$13/MAX(参数设置!$C$14,1)/参数设置!$C$17*参数设置!$C$21,0)</f>
        <v/>
      </c>
    </row>
    <row r="8" ht="20" customHeight="1">
      <c r="A8" s="13" t="n">
        <v>5</v>
      </c>
      <c r="B8" s="16">
        <f>IFERROR(原料BOM!B8,"")</f>
        <v/>
      </c>
      <c r="C8" s="16">
        <f>IFERROR(原料BOM!C8,"")</f>
        <v/>
      </c>
      <c r="D8" s="16">
        <f>IFERROR(原料BOM!D8,"")</f>
        <v/>
      </c>
      <c r="E8" s="10">
        <f>IFERROR(SUMPRODUCT(原料BOM!E8:P8,产品SKU!$G$3:产品SKU!$G$14),0)</f>
        <v/>
      </c>
      <c r="F8" s="9" t="n">
        <v>15</v>
      </c>
      <c r="G8" s="9" t="n"/>
      <c r="H8" s="10">
        <f>参数设置!$C$7</f>
        <v/>
      </c>
      <c r="I8" s="9" t="n"/>
      <c r="J8" s="9" t="n"/>
      <c r="K8" s="9" t="n"/>
      <c r="L8" s="9" t="n"/>
      <c r="M8" s="10">
        <f>IFERROR(MAX(原料仓计算!E8*原料仓计算!F8,IF(原料仓计算!G8="",0,原料仓计算!G8))*原料仓计算!H8+IF(原料仓计算!I8="",0,原料仓计算!I8)+IF(原料仓计算!J8="",0,原料仓计算!J8)+IF(原料仓计算!K8="",0,原料仓计算!K8)+IF(原料仓计算!L8="",0,原料仓计算!L8),0)</f>
        <v/>
      </c>
      <c r="N8" s="9" t="n"/>
      <c r="O8" s="17">
        <f>IFERROR(CEILING(原料仓计算!M8/IF(原料仓计算!N8=0,1,原料仓计算!N8),1),0)</f>
        <v/>
      </c>
      <c r="P8" s="10">
        <f>IFERROR(原料仓计算!O8*参数设置!$C$13/MAX(参数设置!$C$14,1)/参数设置!$C$17*参数设置!$C$21,0)</f>
        <v/>
      </c>
    </row>
    <row r="9" ht="20" customHeight="1">
      <c r="A9" s="13" t="n">
        <v>6</v>
      </c>
      <c r="B9" s="16">
        <f>IFERROR(原料BOM!B9,"")</f>
        <v/>
      </c>
      <c r="C9" s="16">
        <f>IFERROR(原料BOM!C9,"")</f>
        <v/>
      </c>
      <c r="D9" s="16">
        <f>IFERROR(原料BOM!D9,"")</f>
        <v/>
      </c>
      <c r="E9" s="10">
        <f>IFERROR(SUMPRODUCT(原料BOM!E9:P9,产品SKU!$G$3:产品SKU!$G$14),0)</f>
        <v/>
      </c>
      <c r="F9" s="9" t="n">
        <v>15</v>
      </c>
      <c r="G9" s="9" t="n"/>
      <c r="H9" s="10">
        <f>参数设置!$C$7</f>
        <v/>
      </c>
      <c r="I9" s="9" t="n"/>
      <c r="J9" s="9" t="n"/>
      <c r="K9" s="9" t="n"/>
      <c r="L9" s="9" t="n"/>
      <c r="M9" s="10">
        <f>IFERROR(MAX(原料仓计算!E9*原料仓计算!F9,IF(原料仓计算!G9="",0,原料仓计算!G9))*原料仓计算!H9+IF(原料仓计算!I9="",0,原料仓计算!I9)+IF(原料仓计算!J9="",0,原料仓计算!J9)+IF(原料仓计算!K9="",0,原料仓计算!K9)+IF(原料仓计算!L9="",0,原料仓计算!L9),0)</f>
        <v/>
      </c>
      <c r="N9" s="9" t="n"/>
      <c r="O9" s="17">
        <f>IFERROR(CEILING(原料仓计算!M9/IF(原料仓计算!N9=0,1,原料仓计算!N9),1),0)</f>
        <v/>
      </c>
      <c r="P9" s="10">
        <f>IFERROR(原料仓计算!O9*参数设置!$C$13/MAX(参数设置!$C$14,1)/参数设置!$C$17*参数设置!$C$21,0)</f>
        <v/>
      </c>
    </row>
    <row r="10" ht="20" customHeight="1">
      <c r="A10" s="13" t="n">
        <v>7</v>
      </c>
      <c r="B10" s="16">
        <f>IFERROR(原料BOM!B10,"")</f>
        <v/>
      </c>
      <c r="C10" s="16">
        <f>IFERROR(原料BOM!C10,"")</f>
        <v/>
      </c>
      <c r="D10" s="16">
        <f>IFERROR(原料BOM!D10,"")</f>
        <v/>
      </c>
      <c r="E10" s="10">
        <f>IFERROR(SUMPRODUCT(原料BOM!E10:P10,产品SKU!$G$3:产品SKU!$G$14),0)</f>
        <v/>
      </c>
      <c r="F10" s="9" t="n">
        <v>15</v>
      </c>
      <c r="G10" s="9" t="n"/>
      <c r="H10" s="10">
        <f>参数设置!$C$7</f>
        <v/>
      </c>
      <c r="I10" s="9" t="n"/>
      <c r="J10" s="9" t="n"/>
      <c r="K10" s="9" t="n"/>
      <c r="L10" s="9" t="n"/>
      <c r="M10" s="10">
        <f>IFERROR(MAX(原料仓计算!E10*原料仓计算!F10,IF(原料仓计算!G10="",0,原料仓计算!G10))*原料仓计算!H10+IF(原料仓计算!I10="",0,原料仓计算!I10)+IF(原料仓计算!J10="",0,原料仓计算!J10)+IF(原料仓计算!K10="",0,原料仓计算!K10)+IF(原料仓计算!L10="",0,原料仓计算!L10),0)</f>
        <v/>
      </c>
      <c r="N10" s="9" t="n"/>
      <c r="O10" s="17">
        <f>IFERROR(CEILING(原料仓计算!M10/IF(原料仓计算!N10=0,1,原料仓计算!N10),1),0)</f>
        <v/>
      </c>
      <c r="P10" s="10">
        <f>IFERROR(原料仓计算!O10*参数设置!$C$13/MAX(参数设置!$C$14,1)/参数设置!$C$17*参数设置!$C$21,0)</f>
        <v/>
      </c>
    </row>
    <row r="11" ht="20" customHeight="1">
      <c r="A11" s="13" t="n">
        <v>8</v>
      </c>
      <c r="B11" s="16">
        <f>IFERROR(原料BOM!B11,"")</f>
        <v/>
      </c>
      <c r="C11" s="16">
        <f>IFERROR(原料BOM!C11,"")</f>
        <v/>
      </c>
      <c r="D11" s="16">
        <f>IFERROR(原料BOM!D11,"")</f>
        <v/>
      </c>
      <c r="E11" s="10">
        <f>IFERROR(SUMPRODUCT(原料BOM!E11:P11,产品SKU!$G$3:产品SKU!$G$14),0)</f>
        <v/>
      </c>
      <c r="F11" s="9" t="n">
        <v>15</v>
      </c>
      <c r="G11" s="9" t="n"/>
      <c r="H11" s="10">
        <f>参数设置!$C$7</f>
        <v/>
      </c>
      <c r="I11" s="9" t="n"/>
      <c r="J11" s="9" t="n"/>
      <c r="K11" s="9" t="n"/>
      <c r="L11" s="9" t="n"/>
      <c r="M11" s="10">
        <f>IFERROR(MAX(原料仓计算!E11*原料仓计算!F11,IF(原料仓计算!G11="",0,原料仓计算!G11))*原料仓计算!H11+IF(原料仓计算!I11="",0,原料仓计算!I11)+IF(原料仓计算!J11="",0,原料仓计算!J11)+IF(原料仓计算!K11="",0,原料仓计算!K11)+IF(原料仓计算!L11="",0,原料仓计算!L11),0)</f>
        <v/>
      </c>
      <c r="N11" s="9" t="n"/>
      <c r="O11" s="17">
        <f>IFERROR(CEILING(原料仓计算!M11/IF(原料仓计算!N11=0,1,原料仓计算!N11),1),0)</f>
        <v/>
      </c>
      <c r="P11" s="10">
        <f>IFERROR(原料仓计算!O11*参数设置!$C$13/MAX(参数设置!$C$14,1)/参数设置!$C$17*参数设置!$C$21,0)</f>
        <v/>
      </c>
    </row>
    <row r="12" ht="20" customHeight="1">
      <c r="A12" s="13" t="n">
        <v>9</v>
      </c>
      <c r="B12" s="16">
        <f>IFERROR(原料BOM!B12,"")</f>
        <v/>
      </c>
      <c r="C12" s="16">
        <f>IFERROR(原料BOM!C12,"")</f>
        <v/>
      </c>
      <c r="D12" s="16">
        <f>IFERROR(原料BOM!D12,"")</f>
        <v/>
      </c>
      <c r="E12" s="10">
        <f>IFERROR(SUMPRODUCT(原料BOM!E12:P12,产品SKU!$G$3:产品SKU!$G$14),0)</f>
        <v/>
      </c>
      <c r="F12" s="9" t="n"/>
      <c r="G12" s="9" t="n"/>
      <c r="H12" s="10">
        <f>参数设置!$C$7</f>
        <v/>
      </c>
      <c r="I12" s="9" t="n"/>
      <c r="J12" s="9" t="n"/>
      <c r="K12" s="9" t="n"/>
      <c r="L12" s="9" t="n"/>
      <c r="M12" s="10">
        <f>IFERROR(MAX(原料仓计算!E12*原料仓计算!F12,IF(原料仓计算!G12="",0,原料仓计算!G12))*原料仓计算!H12+IF(原料仓计算!I12="",0,原料仓计算!I12)+IF(原料仓计算!J12="",0,原料仓计算!J12)+IF(原料仓计算!K12="",0,原料仓计算!K12)+IF(原料仓计算!L12="",0,原料仓计算!L12),0)</f>
        <v/>
      </c>
      <c r="N12" s="9" t="n"/>
      <c r="O12" s="17">
        <f>IFERROR(CEILING(原料仓计算!M12/IF(原料仓计算!N12=0,1,原料仓计算!N12),1),0)</f>
        <v/>
      </c>
      <c r="P12" s="10">
        <f>IFERROR(原料仓计算!O12*参数设置!$C$13/MAX(参数设置!$C$14,1)/参数设置!$C$17*参数设置!$C$21,0)</f>
        <v/>
      </c>
    </row>
    <row r="13" ht="20" customHeight="1">
      <c r="A13" s="13" t="n">
        <v>10</v>
      </c>
      <c r="B13" s="16">
        <f>IFERROR(原料BOM!B13,"")</f>
        <v/>
      </c>
      <c r="C13" s="16">
        <f>IFERROR(原料BOM!C13,"")</f>
        <v/>
      </c>
      <c r="D13" s="16">
        <f>IFERROR(原料BOM!D13,"")</f>
        <v/>
      </c>
      <c r="E13" s="10">
        <f>IFERROR(SUMPRODUCT(原料BOM!E13:P13,产品SKU!$G$3:产品SKU!$G$14),0)</f>
        <v/>
      </c>
      <c r="F13" s="9" t="n"/>
      <c r="G13" s="9" t="n"/>
      <c r="H13" s="10">
        <f>参数设置!$C$7</f>
        <v/>
      </c>
      <c r="I13" s="9" t="n"/>
      <c r="J13" s="9" t="n"/>
      <c r="K13" s="9" t="n"/>
      <c r="L13" s="9" t="n"/>
      <c r="M13" s="10">
        <f>IFERROR(MAX(原料仓计算!E13*原料仓计算!F13,IF(原料仓计算!G13="",0,原料仓计算!G13))*原料仓计算!H13+IF(原料仓计算!I13="",0,原料仓计算!I13)+IF(原料仓计算!J13="",0,原料仓计算!J13)+IF(原料仓计算!K13="",0,原料仓计算!K13)+IF(原料仓计算!L13="",0,原料仓计算!L13),0)</f>
        <v/>
      </c>
      <c r="N13" s="9" t="n"/>
      <c r="O13" s="17">
        <f>IFERROR(CEILING(原料仓计算!M13/IF(原料仓计算!N13=0,1,原料仓计算!N13),1),0)</f>
        <v/>
      </c>
      <c r="P13" s="10">
        <f>IFERROR(原料仓计算!O13*参数设置!$C$13/MAX(参数设置!$C$14,1)/参数设置!$C$17*参数设置!$C$21,0)</f>
        <v/>
      </c>
    </row>
    <row r="14" ht="20" customHeight="1">
      <c r="A14" s="13" t="n">
        <v>11</v>
      </c>
      <c r="B14" s="16">
        <f>IFERROR(原料BOM!B14,"")</f>
        <v/>
      </c>
      <c r="C14" s="16">
        <f>IFERROR(原料BOM!C14,"")</f>
        <v/>
      </c>
      <c r="D14" s="16">
        <f>IFERROR(原料BOM!D14,"")</f>
        <v/>
      </c>
      <c r="E14" s="10">
        <f>IFERROR(SUMPRODUCT(原料BOM!E14:P14,产品SKU!$G$3:产品SKU!$G$14),0)</f>
        <v/>
      </c>
      <c r="F14" s="9" t="n"/>
      <c r="G14" s="9" t="n"/>
      <c r="H14" s="10">
        <f>参数设置!$C$7</f>
        <v/>
      </c>
      <c r="I14" s="9" t="n"/>
      <c r="J14" s="9" t="n"/>
      <c r="K14" s="9" t="n"/>
      <c r="L14" s="9" t="n"/>
      <c r="M14" s="10">
        <f>IFERROR(MAX(原料仓计算!E14*原料仓计算!F14,IF(原料仓计算!G14="",0,原料仓计算!G14))*原料仓计算!H14+IF(原料仓计算!I14="",0,原料仓计算!I14)+IF(原料仓计算!J14="",0,原料仓计算!J14)+IF(原料仓计算!K14="",0,原料仓计算!K14)+IF(原料仓计算!L14="",0,原料仓计算!L14),0)</f>
        <v/>
      </c>
      <c r="N14" s="9" t="n"/>
      <c r="O14" s="17">
        <f>IFERROR(CEILING(原料仓计算!M14/IF(原料仓计算!N14=0,1,原料仓计算!N14),1),0)</f>
        <v/>
      </c>
      <c r="P14" s="10">
        <f>IFERROR(原料仓计算!O14*参数设置!$C$13/MAX(参数设置!$C$14,1)/参数设置!$C$17*参数设置!$C$21,0)</f>
        <v/>
      </c>
    </row>
    <row r="15" ht="20" customHeight="1">
      <c r="A15" s="13" t="n">
        <v>12</v>
      </c>
      <c r="B15" s="16">
        <f>IFERROR(原料BOM!B15,"")</f>
        <v/>
      </c>
      <c r="C15" s="16">
        <f>IFERROR(原料BOM!C15,"")</f>
        <v/>
      </c>
      <c r="D15" s="16">
        <f>IFERROR(原料BOM!D15,"")</f>
        <v/>
      </c>
      <c r="E15" s="10">
        <f>IFERROR(SUMPRODUCT(原料BOM!E15:P15,产品SKU!$G$3:产品SKU!$G$14),0)</f>
        <v/>
      </c>
      <c r="F15" s="9" t="n"/>
      <c r="G15" s="9" t="n"/>
      <c r="H15" s="10">
        <f>参数设置!$C$7</f>
        <v/>
      </c>
      <c r="I15" s="9" t="n"/>
      <c r="J15" s="9" t="n"/>
      <c r="K15" s="9" t="n"/>
      <c r="L15" s="9" t="n"/>
      <c r="M15" s="10">
        <f>IFERROR(MAX(原料仓计算!E15*原料仓计算!F15,IF(原料仓计算!G15="",0,原料仓计算!G15))*原料仓计算!H15+IF(原料仓计算!I15="",0,原料仓计算!I15)+IF(原料仓计算!J15="",0,原料仓计算!J15)+IF(原料仓计算!K15="",0,原料仓计算!K15)+IF(原料仓计算!L15="",0,原料仓计算!L15),0)</f>
        <v/>
      </c>
      <c r="N15" s="9" t="n"/>
      <c r="O15" s="17">
        <f>IFERROR(CEILING(原料仓计算!M15/IF(原料仓计算!N15=0,1,原料仓计算!N15),1),0)</f>
        <v/>
      </c>
      <c r="P15" s="10">
        <f>IFERROR(原料仓计算!O15*参数设置!$C$13/MAX(参数设置!$C$14,1)/参数设置!$C$17*参数设置!$C$21,0)</f>
        <v/>
      </c>
    </row>
    <row r="16" ht="20" customHeight="1">
      <c r="A16" s="13" t="n">
        <v>13</v>
      </c>
      <c r="B16" s="16">
        <f>IFERROR(原料BOM!B16,"")</f>
        <v/>
      </c>
      <c r="C16" s="16">
        <f>IFERROR(原料BOM!C16,"")</f>
        <v/>
      </c>
      <c r="D16" s="16">
        <f>IFERROR(原料BOM!D16,"")</f>
        <v/>
      </c>
      <c r="E16" s="10">
        <f>IFERROR(SUMPRODUCT(原料BOM!E16:P16,产品SKU!$G$3:产品SKU!$G$14),0)</f>
        <v/>
      </c>
      <c r="F16" s="9" t="n"/>
      <c r="G16" s="9" t="n"/>
      <c r="H16" s="10">
        <f>参数设置!$C$7</f>
        <v/>
      </c>
      <c r="I16" s="9" t="n"/>
      <c r="J16" s="9" t="n"/>
      <c r="K16" s="9" t="n"/>
      <c r="L16" s="9" t="n"/>
      <c r="M16" s="10">
        <f>IFERROR(MAX(原料仓计算!E16*原料仓计算!F16,IF(原料仓计算!G16="",0,原料仓计算!G16))*原料仓计算!H16+IF(原料仓计算!I16="",0,原料仓计算!I16)+IF(原料仓计算!J16="",0,原料仓计算!J16)+IF(原料仓计算!K16="",0,原料仓计算!K16)+IF(原料仓计算!L16="",0,原料仓计算!L16),0)</f>
        <v/>
      </c>
      <c r="N16" s="9" t="n"/>
      <c r="O16" s="17">
        <f>IFERROR(CEILING(原料仓计算!M16/IF(原料仓计算!N16=0,1,原料仓计算!N16),1),0)</f>
        <v/>
      </c>
      <c r="P16" s="10">
        <f>IFERROR(原料仓计算!O16*参数设置!$C$13/MAX(参数设置!$C$14,1)/参数设置!$C$17*参数设置!$C$21,0)</f>
        <v/>
      </c>
    </row>
    <row r="17" ht="20" customHeight="1">
      <c r="A17" s="13" t="n">
        <v>14</v>
      </c>
      <c r="B17" s="16">
        <f>IFERROR(原料BOM!B17,"")</f>
        <v/>
      </c>
      <c r="C17" s="16">
        <f>IFERROR(原料BOM!C17,"")</f>
        <v/>
      </c>
      <c r="D17" s="16">
        <f>IFERROR(原料BOM!D17,"")</f>
        <v/>
      </c>
      <c r="E17" s="10">
        <f>IFERROR(SUMPRODUCT(原料BOM!E17:P17,产品SKU!$G$3:产品SKU!$G$14),0)</f>
        <v/>
      </c>
      <c r="F17" s="9" t="n"/>
      <c r="G17" s="9" t="n"/>
      <c r="H17" s="10">
        <f>参数设置!$C$7</f>
        <v/>
      </c>
      <c r="I17" s="9" t="n"/>
      <c r="J17" s="9" t="n"/>
      <c r="K17" s="9" t="n"/>
      <c r="L17" s="9" t="n"/>
      <c r="M17" s="10">
        <f>IFERROR(MAX(原料仓计算!E17*原料仓计算!F17,IF(原料仓计算!G17="",0,原料仓计算!G17))*原料仓计算!H17+IF(原料仓计算!I17="",0,原料仓计算!I17)+IF(原料仓计算!J17="",0,原料仓计算!J17)+IF(原料仓计算!K17="",0,原料仓计算!K17)+IF(原料仓计算!L17="",0,原料仓计算!L17),0)</f>
        <v/>
      </c>
      <c r="N17" s="9" t="n"/>
      <c r="O17" s="17">
        <f>IFERROR(CEILING(原料仓计算!M17/IF(原料仓计算!N17=0,1,原料仓计算!N17),1),0)</f>
        <v/>
      </c>
      <c r="P17" s="10">
        <f>IFERROR(原料仓计算!O17*参数设置!$C$13/MAX(参数设置!$C$14,1)/参数设置!$C$17*参数设置!$C$21,0)</f>
        <v/>
      </c>
    </row>
    <row r="18" ht="20" customHeight="1">
      <c r="A18" s="13" t="n">
        <v>15</v>
      </c>
      <c r="B18" s="16">
        <f>IFERROR(原料BOM!B18,"")</f>
        <v/>
      </c>
      <c r="C18" s="16">
        <f>IFERROR(原料BOM!C18,"")</f>
        <v/>
      </c>
      <c r="D18" s="16">
        <f>IFERROR(原料BOM!D18,"")</f>
        <v/>
      </c>
      <c r="E18" s="10">
        <f>IFERROR(SUMPRODUCT(原料BOM!E18:P18,产品SKU!$G$3:产品SKU!$G$14),0)</f>
        <v/>
      </c>
      <c r="F18" s="9" t="n"/>
      <c r="G18" s="9" t="n"/>
      <c r="H18" s="10">
        <f>参数设置!$C$7</f>
        <v/>
      </c>
      <c r="I18" s="9" t="n"/>
      <c r="J18" s="9" t="n"/>
      <c r="K18" s="9" t="n"/>
      <c r="L18" s="9" t="n"/>
      <c r="M18" s="10">
        <f>IFERROR(MAX(原料仓计算!E18*原料仓计算!F18,IF(原料仓计算!G18="",0,原料仓计算!G18))*原料仓计算!H18+IF(原料仓计算!I18="",0,原料仓计算!I18)+IF(原料仓计算!J18="",0,原料仓计算!J18)+IF(原料仓计算!K18="",0,原料仓计算!K18)+IF(原料仓计算!L18="",0,原料仓计算!L18),0)</f>
        <v/>
      </c>
      <c r="N18" s="9" t="n"/>
      <c r="O18" s="17">
        <f>IFERROR(CEILING(原料仓计算!M18/IF(原料仓计算!N18=0,1,原料仓计算!N18),1),0)</f>
        <v/>
      </c>
      <c r="P18" s="10">
        <f>IFERROR(原料仓计算!O18*参数设置!$C$13/MAX(参数设置!$C$14,1)/参数设置!$C$17*参数设置!$C$21,0)</f>
        <v/>
      </c>
    </row>
    <row r="19" ht="22" customHeight="1">
      <c r="A19" s="18" t="inlineStr">
        <is>
          <t>合计</t>
        </is>
      </c>
      <c r="M19" s="10">
        <f>SUM(M4:M18)</f>
        <v/>
      </c>
      <c r="O19" s="17">
        <f>SUM(O4:O18)</f>
        <v/>
      </c>
      <c r="P19" s="10">
        <f>SUM(P4:P18)</f>
        <v/>
      </c>
    </row>
  </sheetData>
  <mergeCells count="3">
    <mergeCell ref="A1:P1"/>
    <mergeCell ref="A19:D19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DC3E6"/>
    <outlinePr summaryBelow="1" summaryRight="1"/>
    <pageSetUpPr/>
  </sheetPr>
  <dimension ref="A1:Q4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6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</cols>
  <sheetData>
    <row r="1" ht="34" customHeight="1">
      <c r="A1" s="5" t="inlineStr">
        <is>
          <t>过程品仓计算 — 工序WIP设计库存量</t>
        </is>
      </c>
    </row>
    <row r="2" ht="24" customHeight="1">
      <c r="A2" s="15" t="inlineStr">
        <is>
          <t>公式：设计WIP = MAX(下游小时消耗×缓冲小时数, 批量×最大等待批次数) + 待检库存 + 尾批库存 + 不良品/返工/隔离库存</t>
        </is>
      </c>
    </row>
    <row r="3" ht="54" customHeight="1">
      <c r="A3" s="6" t="inlineStr">
        <is>
          <t>行号</t>
        </is>
      </c>
      <c r="B3" s="6" t="inlineStr">
        <is>
          <t>工序位置</t>
        </is>
      </c>
      <c r="C3" s="6" t="inlineStr">
        <is>
          <t>产品SKU</t>
        </is>
      </c>
      <c r="D3" s="6" t="inlineStr">
        <is>
          <t>单位</t>
        </is>
      </c>
      <c r="E3" s="6" t="inlineStr">
        <is>
          <t>日产量
(件/天)
[自动]</t>
        </is>
      </c>
      <c r="F3" s="6" t="inlineStr">
        <is>
          <t>小时产量
[自动]</t>
        </is>
      </c>
      <c r="G3" s="6" t="inlineStr">
        <is>
          <t>缓冲小时数</t>
        </is>
      </c>
      <c r="H3" s="6" t="inlineStr">
        <is>
          <t>按缓冲时间
计算WIP
[自动]</t>
        </is>
      </c>
      <c r="I3" s="6" t="inlineStr">
        <is>
          <t>批量大小
(件)</t>
        </is>
      </c>
      <c r="J3" s="6" t="inlineStr">
        <is>
          <t>最大等待
批次数</t>
        </is>
      </c>
      <c r="K3" s="6" t="inlineStr">
        <is>
          <t>按批量计算
WIP
[自动]</t>
        </is>
      </c>
      <c r="L3" s="6" t="inlineStr">
        <is>
          <t>设计基础WIP
=MAX(...)
[自动]</t>
        </is>
      </c>
      <c r="M3" s="6" t="inlineStr">
        <is>
          <t>待检等待
库存</t>
        </is>
      </c>
      <c r="N3" s="6" t="inlineStr">
        <is>
          <t>尾批库存</t>
        </is>
      </c>
      <c r="O3" s="6" t="inlineStr">
        <is>
          <t>不良/返工/
隔离库存</t>
        </is>
      </c>
      <c r="P3" s="6" t="inlineStr">
        <is>
          <t>设计WIP
合计
[自动]</t>
        </is>
      </c>
      <c r="Q3" s="6" t="inlineStr">
        <is>
          <t>估算占地
面积(m²)
[自动]</t>
        </is>
      </c>
    </row>
    <row r="4" ht="22" customHeight="1">
      <c r="A4" s="7" t="inlineStr">
        <is>
          <t>【工序1后暂存】</t>
        </is>
      </c>
    </row>
    <row r="5" ht="20" customHeight="1">
      <c r="A5" s="13" t="n">
        <v>1</v>
      </c>
      <c r="B5" s="16" t="inlineStr">
        <is>
          <t>工序1后暂存</t>
        </is>
      </c>
      <c r="C5" s="16">
        <f>IFERROR(产品SKU!B3,"")</f>
        <v/>
      </c>
      <c r="D5" s="16">
        <f>IFERROR(产品SKU!D3,"")</f>
        <v/>
      </c>
      <c r="E5" s="10">
        <f>IFERROR(产品SKU!G3,0)</f>
        <v/>
      </c>
      <c r="F5" s="10">
        <f>IFERROR(过程品仓计算!E5/参数设置!$C$5,0)</f>
        <v/>
      </c>
      <c r="G5" s="10">
        <f>IFERROR(产品SKU!O3,0)</f>
        <v/>
      </c>
      <c r="H5" s="10">
        <f>IFERROR(过程品仓计算!F5*过程品仓计算!G5,0)</f>
        <v/>
      </c>
      <c r="I5" s="9" t="n"/>
      <c r="J5" s="9" t="n">
        <v>2</v>
      </c>
      <c r="K5" s="10">
        <f>IFERROR(IF(过程品仓计算!I5="",0,过程品仓计算!I5)*IF(过程品仓计算!J5="",0,过程品仓计算!J5),0)</f>
        <v/>
      </c>
      <c r="L5" s="10">
        <f>IFERROR(MAX(过程品仓计算!H5,过程品仓计算!K5),0)</f>
        <v/>
      </c>
      <c r="M5" s="9" t="n"/>
      <c r="N5" s="9" t="n"/>
      <c r="O5" s="9" t="n"/>
      <c r="P5" s="10">
        <f>IFERROR(过程品仓计算!L5+IF(过程品仓计算!M5="",0,过程品仓计算!M5)+IF(过程品仓计算!N5="",0,过程品仓计算!N5)+IF(过程品仓计算!O5="",0,过程品仓计算!O5),0)</f>
        <v/>
      </c>
      <c r="Q5" s="10">
        <f>IFERROR(CEILING(过程品仓计算!P5/MAX(产品SKU!M3,1),1)*参数设置!$C$13/MAX(参数设置!$C$14,1)/参数设置!$C$18*参数设置!$C$21,0)</f>
        <v/>
      </c>
    </row>
    <row r="6" ht="20" customHeight="1">
      <c r="A6" s="13" t="n">
        <v>2</v>
      </c>
      <c r="B6" s="16" t="inlineStr">
        <is>
          <t>工序1后暂存</t>
        </is>
      </c>
      <c r="C6" s="16">
        <f>IFERROR(产品SKU!B4,"")</f>
        <v/>
      </c>
      <c r="D6" s="16">
        <f>IFERROR(产品SKU!D4,"")</f>
        <v/>
      </c>
      <c r="E6" s="10">
        <f>IFERROR(产品SKU!G4,0)</f>
        <v/>
      </c>
      <c r="F6" s="10">
        <f>IFERROR(过程品仓计算!E6/参数设置!$C$5,0)</f>
        <v/>
      </c>
      <c r="G6" s="10">
        <f>IFERROR(产品SKU!O4,0)</f>
        <v/>
      </c>
      <c r="H6" s="10">
        <f>IFERROR(过程品仓计算!F6*过程品仓计算!G6,0)</f>
        <v/>
      </c>
      <c r="I6" s="9" t="n"/>
      <c r="J6" s="9" t="n">
        <v>2</v>
      </c>
      <c r="K6" s="10">
        <f>IFERROR(IF(过程品仓计算!I6="",0,过程品仓计算!I6)*IF(过程品仓计算!J6="",0,过程品仓计算!J6),0)</f>
        <v/>
      </c>
      <c r="L6" s="10">
        <f>IFERROR(MAX(过程品仓计算!H6,过程品仓计算!K6),0)</f>
        <v/>
      </c>
      <c r="M6" s="9" t="n"/>
      <c r="N6" s="9" t="n"/>
      <c r="O6" s="9" t="n"/>
      <c r="P6" s="10">
        <f>IFERROR(过程品仓计算!L6+IF(过程品仓计算!M6="",0,过程品仓计算!M6)+IF(过程品仓计算!N6="",0,过程品仓计算!N6)+IF(过程品仓计算!O6="",0,过程品仓计算!O6),0)</f>
        <v/>
      </c>
      <c r="Q6" s="10">
        <f>IFERROR(CEILING(过程品仓计算!P6/MAX(产品SKU!M4,1),1)*参数设置!$C$13/MAX(参数设置!$C$14,1)/参数设置!$C$18*参数设置!$C$21,0)</f>
        <v/>
      </c>
    </row>
    <row r="7" ht="20" customHeight="1">
      <c r="A7" s="13" t="n">
        <v>3</v>
      </c>
      <c r="B7" s="16" t="inlineStr">
        <is>
          <t>工序1后暂存</t>
        </is>
      </c>
      <c r="C7" s="16">
        <f>IFERROR(产品SKU!B5,"")</f>
        <v/>
      </c>
      <c r="D7" s="16">
        <f>IFERROR(产品SKU!D5,"")</f>
        <v/>
      </c>
      <c r="E7" s="10">
        <f>IFERROR(产品SKU!G5,0)</f>
        <v/>
      </c>
      <c r="F7" s="10">
        <f>IFERROR(过程品仓计算!E7/参数设置!$C$5,0)</f>
        <v/>
      </c>
      <c r="G7" s="10">
        <f>IFERROR(产品SKU!O5,0)</f>
        <v/>
      </c>
      <c r="H7" s="10">
        <f>IFERROR(过程品仓计算!F7*过程品仓计算!G7,0)</f>
        <v/>
      </c>
      <c r="I7" s="9" t="n"/>
      <c r="J7" s="9" t="n">
        <v>2</v>
      </c>
      <c r="K7" s="10">
        <f>IFERROR(IF(过程品仓计算!I7="",0,过程品仓计算!I7)*IF(过程品仓计算!J7="",0,过程品仓计算!J7),0)</f>
        <v/>
      </c>
      <c r="L7" s="10">
        <f>IFERROR(MAX(过程品仓计算!H7,过程品仓计算!K7),0)</f>
        <v/>
      </c>
      <c r="M7" s="9" t="n"/>
      <c r="N7" s="9" t="n"/>
      <c r="O7" s="9" t="n"/>
      <c r="P7" s="10">
        <f>IFERROR(过程品仓计算!L7+IF(过程品仓计算!M7="",0,过程品仓计算!M7)+IF(过程品仓计算!N7="",0,过程品仓计算!N7)+IF(过程品仓计算!O7="",0,过程品仓计算!O7),0)</f>
        <v/>
      </c>
      <c r="Q7" s="10">
        <f>IFERROR(CEILING(过程品仓计算!P7/MAX(产品SKU!M5,1),1)*参数设置!$C$13/MAX(参数设置!$C$14,1)/参数设置!$C$18*参数设置!$C$21,0)</f>
        <v/>
      </c>
    </row>
    <row r="8" ht="20" customHeight="1">
      <c r="A8" s="13" t="n">
        <v>4</v>
      </c>
      <c r="B8" s="16" t="inlineStr">
        <is>
          <t>工序1后暂存</t>
        </is>
      </c>
      <c r="C8" s="16">
        <f>IFERROR(产品SKU!B6,"")</f>
        <v/>
      </c>
      <c r="D8" s="16">
        <f>IFERROR(产品SKU!D6,"")</f>
        <v/>
      </c>
      <c r="E8" s="10">
        <f>IFERROR(产品SKU!G6,0)</f>
        <v/>
      </c>
      <c r="F8" s="10">
        <f>IFERROR(过程品仓计算!E8/参数设置!$C$5,0)</f>
        <v/>
      </c>
      <c r="G8" s="10">
        <f>IFERROR(产品SKU!O6,0)</f>
        <v/>
      </c>
      <c r="H8" s="10">
        <f>IFERROR(过程品仓计算!F8*过程品仓计算!G8,0)</f>
        <v/>
      </c>
      <c r="I8" s="9" t="n"/>
      <c r="J8" s="9" t="n">
        <v>2</v>
      </c>
      <c r="K8" s="10">
        <f>IFERROR(IF(过程品仓计算!I8="",0,过程品仓计算!I8)*IF(过程品仓计算!J8="",0,过程品仓计算!J8),0)</f>
        <v/>
      </c>
      <c r="L8" s="10">
        <f>IFERROR(MAX(过程品仓计算!H8,过程品仓计算!K8),0)</f>
        <v/>
      </c>
      <c r="M8" s="9" t="n"/>
      <c r="N8" s="9" t="n"/>
      <c r="O8" s="9" t="n"/>
      <c r="P8" s="10">
        <f>IFERROR(过程品仓计算!L8+IF(过程品仓计算!M8="",0,过程品仓计算!M8)+IF(过程品仓计算!N8="",0,过程品仓计算!N8)+IF(过程品仓计算!O8="",0,过程品仓计算!O8),0)</f>
        <v/>
      </c>
      <c r="Q8" s="10">
        <f>IFERROR(CEILING(过程品仓计算!P8/MAX(产品SKU!M6,1),1)*参数设置!$C$13/MAX(参数设置!$C$14,1)/参数设置!$C$18*参数设置!$C$21,0)</f>
        <v/>
      </c>
    </row>
    <row r="9" ht="20" customHeight="1">
      <c r="A9" s="13" t="n">
        <v>5</v>
      </c>
      <c r="B9" s="16" t="inlineStr">
        <is>
          <t>工序1后暂存</t>
        </is>
      </c>
      <c r="C9" s="16">
        <f>IFERROR(产品SKU!B7,"")</f>
        <v/>
      </c>
      <c r="D9" s="16">
        <f>IFERROR(产品SKU!D7,"")</f>
        <v/>
      </c>
      <c r="E9" s="10">
        <f>IFERROR(产品SKU!G7,0)</f>
        <v/>
      </c>
      <c r="F9" s="10">
        <f>IFERROR(过程品仓计算!E9/参数设置!$C$5,0)</f>
        <v/>
      </c>
      <c r="G9" s="10">
        <f>IFERROR(产品SKU!O7,0)</f>
        <v/>
      </c>
      <c r="H9" s="10">
        <f>IFERROR(过程品仓计算!F9*过程品仓计算!G9,0)</f>
        <v/>
      </c>
      <c r="I9" s="9" t="n"/>
      <c r="J9" s="9" t="n">
        <v>2</v>
      </c>
      <c r="K9" s="10">
        <f>IFERROR(IF(过程品仓计算!I9="",0,过程品仓计算!I9)*IF(过程品仓计算!J9="",0,过程品仓计算!J9),0)</f>
        <v/>
      </c>
      <c r="L9" s="10">
        <f>IFERROR(MAX(过程品仓计算!H9,过程品仓计算!K9),0)</f>
        <v/>
      </c>
      <c r="M9" s="9" t="n"/>
      <c r="N9" s="9" t="n"/>
      <c r="O9" s="9" t="n"/>
      <c r="P9" s="10">
        <f>IFERROR(过程品仓计算!L9+IF(过程品仓计算!M9="",0,过程品仓计算!M9)+IF(过程品仓计算!N9="",0,过程品仓计算!N9)+IF(过程品仓计算!O9="",0,过程品仓计算!O9),0)</f>
        <v/>
      </c>
      <c r="Q9" s="10">
        <f>IFERROR(CEILING(过程品仓计算!P9/MAX(产品SKU!M7,1),1)*参数设置!$C$13/MAX(参数设置!$C$14,1)/参数设置!$C$18*参数设置!$C$21,0)</f>
        <v/>
      </c>
    </row>
    <row r="10" ht="20" customHeight="1">
      <c r="A10" s="13" t="n">
        <v>6</v>
      </c>
      <c r="B10" s="16" t="inlineStr">
        <is>
          <t>工序1后暂存</t>
        </is>
      </c>
      <c r="C10" s="16">
        <f>IFERROR(产品SKU!B8,"")</f>
        <v/>
      </c>
      <c r="D10" s="16">
        <f>IFERROR(产品SKU!D8,"")</f>
        <v/>
      </c>
      <c r="E10" s="10">
        <f>IFERROR(产品SKU!G8,0)</f>
        <v/>
      </c>
      <c r="F10" s="10">
        <f>IFERROR(过程品仓计算!E10/参数设置!$C$5,0)</f>
        <v/>
      </c>
      <c r="G10" s="10">
        <f>IFERROR(产品SKU!O8,0)</f>
        <v/>
      </c>
      <c r="H10" s="10">
        <f>IFERROR(过程品仓计算!F10*过程品仓计算!G10,0)</f>
        <v/>
      </c>
      <c r="I10" s="9" t="n"/>
      <c r="J10" s="9" t="n">
        <v>2</v>
      </c>
      <c r="K10" s="10">
        <f>IFERROR(IF(过程品仓计算!I10="",0,过程品仓计算!I10)*IF(过程品仓计算!J10="",0,过程品仓计算!J10),0)</f>
        <v/>
      </c>
      <c r="L10" s="10">
        <f>IFERROR(MAX(过程品仓计算!H10,过程品仓计算!K10),0)</f>
        <v/>
      </c>
      <c r="M10" s="9" t="n"/>
      <c r="N10" s="9" t="n"/>
      <c r="O10" s="9" t="n"/>
      <c r="P10" s="10">
        <f>IFERROR(过程品仓计算!L10+IF(过程品仓计算!M10="",0,过程品仓计算!M10)+IF(过程品仓计算!N10="",0,过程品仓计算!N10)+IF(过程品仓计算!O10="",0,过程品仓计算!O10),0)</f>
        <v/>
      </c>
      <c r="Q10" s="10">
        <f>IFERROR(CEILING(过程品仓计算!P10/MAX(产品SKU!M8,1),1)*参数设置!$C$13/MAX(参数设置!$C$14,1)/参数设置!$C$18*参数设置!$C$21,0)</f>
        <v/>
      </c>
    </row>
    <row r="11" ht="20" customHeight="1">
      <c r="A11" s="13" t="n">
        <v>7</v>
      </c>
      <c r="B11" s="16" t="inlineStr">
        <is>
          <t>工序1后暂存</t>
        </is>
      </c>
      <c r="C11" s="16">
        <f>IFERROR(产品SKU!B9,"")</f>
        <v/>
      </c>
      <c r="D11" s="16">
        <f>IFERROR(产品SKU!D9,"")</f>
        <v/>
      </c>
      <c r="E11" s="10">
        <f>IFERROR(产品SKU!G9,0)</f>
        <v/>
      </c>
      <c r="F11" s="10">
        <f>IFERROR(过程品仓计算!E11/参数设置!$C$5,0)</f>
        <v/>
      </c>
      <c r="G11" s="10">
        <f>IFERROR(产品SKU!O9,0)</f>
        <v/>
      </c>
      <c r="H11" s="10">
        <f>IFERROR(过程品仓计算!F11*过程品仓计算!G11,0)</f>
        <v/>
      </c>
      <c r="I11" s="9" t="n"/>
      <c r="J11" s="9" t="n">
        <v>2</v>
      </c>
      <c r="K11" s="10">
        <f>IFERROR(IF(过程品仓计算!I11="",0,过程品仓计算!I11)*IF(过程品仓计算!J11="",0,过程品仓计算!J11),0)</f>
        <v/>
      </c>
      <c r="L11" s="10">
        <f>IFERROR(MAX(过程品仓计算!H11,过程品仓计算!K11),0)</f>
        <v/>
      </c>
      <c r="M11" s="9" t="n"/>
      <c r="N11" s="9" t="n"/>
      <c r="O11" s="9" t="n"/>
      <c r="P11" s="10">
        <f>IFERROR(过程品仓计算!L11+IF(过程品仓计算!M11="",0,过程品仓计算!M11)+IF(过程品仓计算!N11="",0,过程品仓计算!N11)+IF(过程品仓计算!O11="",0,过程品仓计算!O11),0)</f>
        <v/>
      </c>
      <c r="Q11" s="10">
        <f>IFERROR(CEILING(过程品仓计算!P11/MAX(产品SKU!M9,1),1)*参数设置!$C$13/MAX(参数设置!$C$14,1)/参数设置!$C$18*参数设置!$C$21,0)</f>
        <v/>
      </c>
    </row>
    <row r="12" ht="20" customHeight="1">
      <c r="A12" s="13" t="n">
        <v>8</v>
      </c>
      <c r="B12" s="16" t="inlineStr">
        <is>
          <t>工序1后暂存</t>
        </is>
      </c>
      <c r="C12" s="16">
        <f>IFERROR(产品SKU!B10,"")</f>
        <v/>
      </c>
      <c r="D12" s="16">
        <f>IFERROR(产品SKU!D10,"")</f>
        <v/>
      </c>
      <c r="E12" s="10">
        <f>IFERROR(产品SKU!G10,0)</f>
        <v/>
      </c>
      <c r="F12" s="10">
        <f>IFERROR(过程品仓计算!E12/参数设置!$C$5,0)</f>
        <v/>
      </c>
      <c r="G12" s="10">
        <f>IFERROR(产品SKU!O10,0)</f>
        <v/>
      </c>
      <c r="H12" s="10">
        <f>IFERROR(过程品仓计算!F12*过程品仓计算!G12,0)</f>
        <v/>
      </c>
      <c r="I12" s="9" t="n"/>
      <c r="J12" s="9" t="n">
        <v>2</v>
      </c>
      <c r="K12" s="10">
        <f>IFERROR(IF(过程品仓计算!I12="",0,过程品仓计算!I12)*IF(过程品仓计算!J12="",0,过程品仓计算!J12),0)</f>
        <v/>
      </c>
      <c r="L12" s="10">
        <f>IFERROR(MAX(过程品仓计算!H12,过程品仓计算!K12),0)</f>
        <v/>
      </c>
      <c r="M12" s="9" t="n"/>
      <c r="N12" s="9" t="n"/>
      <c r="O12" s="9" t="n"/>
      <c r="P12" s="10">
        <f>IFERROR(过程品仓计算!L12+IF(过程品仓计算!M12="",0,过程品仓计算!M12)+IF(过程品仓计算!N12="",0,过程品仓计算!N12)+IF(过程品仓计算!O12="",0,过程品仓计算!O12),0)</f>
        <v/>
      </c>
      <c r="Q12" s="10">
        <f>IFERROR(CEILING(过程品仓计算!P12/MAX(产品SKU!M10,1),1)*参数设置!$C$13/MAX(参数设置!$C$14,1)/参数设置!$C$18*参数设置!$C$21,0)</f>
        <v/>
      </c>
    </row>
    <row r="13" ht="20" customHeight="1">
      <c r="A13" s="13" t="n">
        <v>9</v>
      </c>
      <c r="B13" s="16" t="inlineStr">
        <is>
          <t>工序1后暂存</t>
        </is>
      </c>
      <c r="C13" s="16">
        <f>IFERROR(产品SKU!B11,"")</f>
        <v/>
      </c>
      <c r="D13" s="16">
        <f>IFERROR(产品SKU!D11,"")</f>
        <v/>
      </c>
      <c r="E13" s="10">
        <f>IFERROR(产品SKU!G11,0)</f>
        <v/>
      </c>
      <c r="F13" s="10">
        <f>IFERROR(过程品仓计算!E13/参数设置!$C$5,0)</f>
        <v/>
      </c>
      <c r="G13" s="10">
        <f>IFERROR(产品SKU!O11,0)</f>
        <v/>
      </c>
      <c r="H13" s="10">
        <f>IFERROR(过程品仓计算!F13*过程品仓计算!G13,0)</f>
        <v/>
      </c>
      <c r="I13" s="9" t="n"/>
      <c r="J13" s="9" t="n">
        <v>2</v>
      </c>
      <c r="K13" s="10">
        <f>IFERROR(IF(过程品仓计算!I13="",0,过程品仓计算!I13)*IF(过程品仓计算!J13="",0,过程品仓计算!J13),0)</f>
        <v/>
      </c>
      <c r="L13" s="10">
        <f>IFERROR(MAX(过程品仓计算!H13,过程品仓计算!K13),0)</f>
        <v/>
      </c>
      <c r="M13" s="9" t="n"/>
      <c r="N13" s="9" t="n"/>
      <c r="O13" s="9" t="n"/>
      <c r="P13" s="10">
        <f>IFERROR(过程品仓计算!L13+IF(过程品仓计算!M13="",0,过程品仓计算!M13)+IF(过程品仓计算!N13="",0,过程品仓计算!N13)+IF(过程品仓计算!O13="",0,过程品仓计算!O13),0)</f>
        <v/>
      </c>
      <c r="Q13" s="10">
        <f>IFERROR(CEILING(过程品仓计算!P13/MAX(产品SKU!M11,1),1)*参数设置!$C$13/MAX(参数设置!$C$14,1)/参数设置!$C$18*参数设置!$C$21,0)</f>
        <v/>
      </c>
    </row>
    <row r="14" ht="20" customHeight="1">
      <c r="A14" s="13" t="n">
        <v>10</v>
      </c>
      <c r="B14" s="16" t="inlineStr">
        <is>
          <t>工序1后暂存</t>
        </is>
      </c>
      <c r="C14" s="16">
        <f>IFERROR(产品SKU!B12,"")</f>
        <v/>
      </c>
      <c r="D14" s="16">
        <f>IFERROR(产品SKU!D12,"")</f>
        <v/>
      </c>
      <c r="E14" s="10">
        <f>IFERROR(产品SKU!G12,0)</f>
        <v/>
      </c>
      <c r="F14" s="10">
        <f>IFERROR(过程品仓计算!E14/参数设置!$C$5,0)</f>
        <v/>
      </c>
      <c r="G14" s="10">
        <f>IFERROR(产品SKU!O12,0)</f>
        <v/>
      </c>
      <c r="H14" s="10">
        <f>IFERROR(过程品仓计算!F14*过程品仓计算!G14,0)</f>
        <v/>
      </c>
      <c r="I14" s="9" t="n"/>
      <c r="J14" s="9" t="n">
        <v>2</v>
      </c>
      <c r="K14" s="10">
        <f>IFERROR(IF(过程品仓计算!I14="",0,过程品仓计算!I14)*IF(过程品仓计算!J14="",0,过程品仓计算!J14),0)</f>
        <v/>
      </c>
      <c r="L14" s="10">
        <f>IFERROR(MAX(过程品仓计算!H14,过程品仓计算!K14),0)</f>
        <v/>
      </c>
      <c r="M14" s="9" t="n"/>
      <c r="N14" s="9" t="n"/>
      <c r="O14" s="9" t="n"/>
      <c r="P14" s="10">
        <f>IFERROR(过程品仓计算!L14+IF(过程品仓计算!M14="",0,过程品仓计算!M14)+IF(过程品仓计算!N14="",0,过程品仓计算!N14)+IF(过程品仓计算!O14="",0,过程品仓计算!O14),0)</f>
        <v/>
      </c>
      <c r="Q14" s="10">
        <f>IFERROR(CEILING(过程品仓计算!P14/MAX(产品SKU!M12,1),1)*参数设置!$C$13/MAX(参数设置!$C$14,1)/参数设置!$C$18*参数设置!$C$21,0)</f>
        <v/>
      </c>
    </row>
    <row r="15" ht="20" customHeight="1">
      <c r="A15" s="13" t="n">
        <v>11</v>
      </c>
      <c r="B15" s="16" t="inlineStr">
        <is>
          <t>工序1后暂存</t>
        </is>
      </c>
      <c r="C15" s="16">
        <f>IFERROR(产品SKU!B13,"")</f>
        <v/>
      </c>
      <c r="D15" s="16">
        <f>IFERROR(产品SKU!D13,"")</f>
        <v/>
      </c>
      <c r="E15" s="10">
        <f>IFERROR(产品SKU!G13,0)</f>
        <v/>
      </c>
      <c r="F15" s="10">
        <f>IFERROR(过程品仓计算!E15/参数设置!$C$5,0)</f>
        <v/>
      </c>
      <c r="G15" s="10">
        <f>IFERROR(产品SKU!O13,0)</f>
        <v/>
      </c>
      <c r="H15" s="10">
        <f>IFERROR(过程品仓计算!F15*过程品仓计算!G15,0)</f>
        <v/>
      </c>
      <c r="I15" s="9" t="n"/>
      <c r="J15" s="9" t="n">
        <v>2</v>
      </c>
      <c r="K15" s="10">
        <f>IFERROR(IF(过程品仓计算!I15="",0,过程品仓计算!I15)*IF(过程品仓计算!J15="",0,过程品仓计算!J15),0)</f>
        <v/>
      </c>
      <c r="L15" s="10">
        <f>IFERROR(MAX(过程品仓计算!H15,过程品仓计算!K15),0)</f>
        <v/>
      </c>
      <c r="M15" s="9" t="n"/>
      <c r="N15" s="9" t="n"/>
      <c r="O15" s="9" t="n"/>
      <c r="P15" s="10">
        <f>IFERROR(过程品仓计算!L15+IF(过程品仓计算!M15="",0,过程品仓计算!M15)+IF(过程品仓计算!N15="",0,过程品仓计算!N15)+IF(过程品仓计算!O15="",0,过程品仓计算!O15),0)</f>
        <v/>
      </c>
      <c r="Q15" s="10">
        <f>IFERROR(CEILING(过程品仓计算!P15/MAX(产品SKU!M13,1),1)*参数设置!$C$13/MAX(参数设置!$C$14,1)/参数设置!$C$18*参数设置!$C$21,0)</f>
        <v/>
      </c>
    </row>
    <row r="16" ht="20" customHeight="1">
      <c r="A16" s="13" t="n">
        <v>12</v>
      </c>
      <c r="B16" s="16" t="inlineStr">
        <is>
          <t>工序1后暂存</t>
        </is>
      </c>
      <c r="C16" s="16">
        <f>IFERROR(产品SKU!B14,"")</f>
        <v/>
      </c>
      <c r="D16" s="16">
        <f>IFERROR(产品SKU!D14,"")</f>
        <v/>
      </c>
      <c r="E16" s="10">
        <f>IFERROR(产品SKU!G14,0)</f>
        <v/>
      </c>
      <c r="F16" s="10">
        <f>IFERROR(过程品仓计算!E16/参数设置!$C$5,0)</f>
        <v/>
      </c>
      <c r="G16" s="10">
        <f>IFERROR(产品SKU!O14,0)</f>
        <v/>
      </c>
      <c r="H16" s="10">
        <f>IFERROR(过程品仓计算!F16*过程品仓计算!G16,0)</f>
        <v/>
      </c>
      <c r="I16" s="9" t="n"/>
      <c r="J16" s="9" t="n">
        <v>2</v>
      </c>
      <c r="K16" s="10">
        <f>IFERROR(IF(过程品仓计算!I16="",0,过程品仓计算!I16)*IF(过程品仓计算!J16="",0,过程品仓计算!J16),0)</f>
        <v/>
      </c>
      <c r="L16" s="10">
        <f>IFERROR(MAX(过程品仓计算!H16,过程品仓计算!K16),0)</f>
        <v/>
      </c>
      <c r="M16" s="9" t="n"/>
      <c r="N16" s="9" t="n"/>
      <c r="O16" s="9" t="n"/>
      <c r="P16" s="10">
        <f>IFERROR(过程品仓计算!L16+IF(过程品仓计算!M16="",0,过程品仓计算!M16)+IF(过程品仓计算!N16="",0,过程品仓计算!N16)+IF(过程品仓计算!O16="",0,过程品仓计算!O16),0)</f>
        <v/>
      </c>
      <c r="Q16" s="10">
        <f>IFERROR(CEILING(过程品仓计算!P16/MAX(产品SKU!M14,1),1)*参数设置!$C$13/MAX(参数设置!$C$14,1)/参数设置!$C$18*参数设置!$C$21,0)</f>
        <v/>
      </c>
    </row>
    <row r="17" ht="20" customHeight="1">
      <c r="A17" s="19" t="inlineStr">
        <is>
          <t>工序1后暂存 小计</t>
        </is>
      </c>
      <c r="P17" s="10">
        <f>SUM(P5:P16)</f>
        <v/>
      </c>
      <c r="Q17" s="10">
        <f>SUM(Q5:Q16)</f>
        <v/>
      </c>
    </row>
    <row r="18" ht="22" customHeight="1">
      <c r="A18" s="7" t="inlineStr">
        <is>
          <t>【工序2后暂存】</t>
        </is>
      </c>
    </row>
    <row r="19" ht="20" customHeight="1">
      <c r="A19" s="13" t="n">
        <v>1</v>
      </c>
      <c r="B19" s="16" t="inlineStr">
        <is>
          <t>工序2后暂存</t>
        </is>
      </c>
      <c r="C19" s="16">
        <f>IFERROR(产品SKU!B3,"")</f>
        <v/>
      </c>
      <c r="D19" s="16">
        <f>IFERROR(产品SKU!D3,"")</f>
        <v/>
      </c>
      <c r="E19" s="10">
        <f>IFERROR(产品SKU!G3,0)</f>
        <v/>
      </c>
      <c r="F19" s="10">
        <f>IFERROR(过程品仓计算!E19/参数设置!$C$5,0)</f>
        <v/>
      </c>
      <c r="G19" s="10">
        <f>IFERROR(产品SKU!P3,0)</f>
        <v/>
      </c>
      <c r="H19" s="10">
        <f>IFERROR(过程品仓计算!F19*过程品仓计算!G19,0)</f>
        <v/>
      </c>
      <c r="I19" s="9" t="n"/>
      <c r="J19" s="9" t="n">
        <v>2</v>
      </c>
      <c r="K19" s="10">
        <f>IFERROR(IF(过程品仓计算!I19="",0,过程品仓计算!I19)*IF(过程品仓计算!J19="",0,过程品仓计算!J19),0)</f>
        <v/>
      </c>
      <c r="L19" s="10">
        <f>IFERROR(MAX(过程品仓计算!H19,过程品仓计算!K19),0)</f>
        <v/>
      </c>
      <c r="M19" s="9" t="n"/>
      <c r="N19" s="9" t="n"/>
      <c r="O19" s="9" t="n"/>
      <c r="P19" s="10">
        <f>IFERROR(过程品仓计算!L19+IF(过程品仓计算!M19="",0,过程品仓计算!M19)+IF(过程品仓计算!N19="",0,过程品仓计算!N19)+IF(过程品仓计算!O19="",0,过程品仓计算!O19),0)</f>
        <v/>
      </c>
      <c r="Q19" s="10">
        <f>IFERROR(CEILING(过程品仓计算!P19/MAX(产品SKU!M3,1),1)*参数设置!$C$13/MAX(参数设置!$C$14,1)/参数设置!$C$18*参数设置!$C$21,0)</f>
        <v/>
      </c>
    </row>
    <row r="20" ht="20" customHeight="1">
      <c r="A20" s="13" t="n">
        <v>2</v>
      </c>
      <c r="B20" s="16" t="inlineStr">
        <is>
          <t>工序2后暂存</t>
        </is>
      </c>
      <c r="C20" s="16">
        <f>IFERROR(产品SKU!B4,"")</f>
        <v/>
      </c>
      <c r="D20" s="16">
        <f>IFERROR(产品SKU!D4,"")</f>
        <v/>
      </c>
      <c r="E20" s="10">
        <f>IFERROR(产品SKU!G4,0)</f>
        <v/>
      </c>
      <c r="F20" s="10">
        <f>IFERROR(过程品仓计算!E20/参数设置!$C$5,0)</f>
        <v/>
      </c>
      <c r="G20" s="10">
        <f>IFERROR(产品SKU!P4,0)</f>
        <v/>
      </c>
      <c r="H20" s="10">
        <f>IFERROR(过程品仓计算!F20*过程品仓计算!G20,0)</f>
        <v/>
      </c>
      <c r="I20" s="9" t="n"/>
      <c r="J20" s="9" t="n">
        <v>2</v>
      </c>
      <c r="K20" s="10">
        <f>IFERROR(IF(过程品仓计算!I20="",0,过程品仓计算!I20)*IF(过程品仓计算!J20="",0,过程品仓计算!J20),0)</f>
        <v/>
      </c>
      <c r="L20" s="10">
        <f>IFERROR(MAX(过程品仓计算!H20,过程品仓计算!K20),0)</f>
        <v/>
      </c>
      <c r="M20" s="9" t="n"/>
      <c r="N20" s="9" t="n"/>
      <c r="O20" s="9" t="n"/>
      <c r="P20" s="10">
        <f>IFERROR(过程品仓计算!L20+IF(过程品仓计算!M20="",0,过程品仓计算!M20)+IF(过程品仓计算!N20="",0,过程品仓计算!N20)+IF(过程品仓计算!O20="",0,过程品仓计算!O20),0)</f>
        <v/>
      </c>
      <c r="Q20" s="10">
        <f>IFERROR(CEILING(过程品仓计算!P20/MAX(产品SKU!M4,1),1)*参数设置!$C$13/MAX(参数设置!$C$14,1)/参数设置!$C$18*参数设置!$C$21,0)</f>
        <v/>
      </c>
    </row>
    <row r="21" ht="20" customHeight="1">
      <c r="A21" s="13" t="n">
        <v>3</v>
      </c>
      <c r="B21" s="16" t="inlineStr">
        <is>
          <t>工序2后暂存</t>
        </is>
      </c>
      <c r="C21" s="16">
        <f>IFERROR(产品SKU!B5,"")</f>
        <v/>
      </c>
      <c r="D21" s="16">
        <f>IFERROR(产品SKU!D5,"")</f>
        <v/>
      </c>
      <c r="E21" s="10">
        <f>IFERROR(产品SKU!G5,0)</f>
        <v/>
      </c>
      <c r="F21" s="10">
        <f>IFERROR(过程品仓计算!E21/参数设置!$C$5,0)</f>
        <v/>
      </c>
      <c r="G21" s="10">
        <f>IFERROR(产品SKU!P5,0)</f>
        <v/>
      </c>
      <c r="H21" s="10">
        <f>IFERROR(过程品仓计算!F21*过程品仓计算!G21,0)</f>
        <v/>
      </c>
      <c r="I21" s="9" t="n"/>
      <c r="J21" s="9" t="n">
        <v>2</v>
      </c>
      <c r="K21" s="10">
        <f>IFERROR(IF(过程品仓计算!I21="",0,过程品仓计算!I21)*IF(过程品仓计算!J21="",0,过程品仓计算!J21),0)</f>
        <v/>
      </c>
      <c r="L21" s="10">
        <f>IFERROR(MAX(过程品仓计算!H21,过程品仓计算!K21),0)</f>
        <v/>
      </c>
      <c r="M21" s="9" t="n"/>
      <c r="N21" s="9" t="n"/>
      <c r="O21" s="9" t="n"/>
      <c r="P21" s="10">
        <f>IFERROR(过程品仓计算!L21+IF(过程品仓计算!M21="",0,过程品仓计算!M21)+IF(过程品仓计算!N21="",0,过程品仓计算!N21)+IF(过程品仓计算!O21="",0,过程品仓计算!O21),0)</f>
        <v/>
      </c>
      <c r="Q21" s="10">
        <f>IFERROR(CEILING(过程品仓计算!P21/MAX(产品SKU!M5,1),1)*参数设置!$C$13/MAX(参数设置!$C$14,1)/参数设置!$C$18*参数设置!$C$21,0)</f>
        <v/>
      </c>
    </row>
    <row r="22" ht="20" customHeight="1">
      <c r="A22" s="13" t="n">
        <v>4</v>
      </c>
      <c r="B22" s="16" t="inlineStr">
        <is>
          <t>工序2后暂存</t>
        </is>
      </c>
      <c r="C22" s="16">
        <f>IFERROR(产品SKU!B6,"")</f>
        <v/>
      </c>
      <c r="D22" s="16">
        <f>IFERROR(产品SKU!D6,"")</f>
        <v/>
      </c>
      <c r="E22" s="10">
        <f>IFERROR(产品SKU!G6,0)</f>
        <v/>
      </c>
      <c r="F22" s="10">
        <f>IFERROR(过程品仓计算!E22/参数设置!$C$5,0)</f>
        <v/>
      </c>
      <c r="G22" s="10">
        <f>IFERROR(产品SKU!P6,0)</f>
        <v/>
      </c>
      <c r="H22" s="10">
        <f>IFERROR(过程品仓计算!F22*过程品仓计算!G22,0)</f>
        <v/>
      </c>
      <c r="I22" s="9" t="n"/>
      <c r="J22" s="9" t="n">
        <v>2</v>
      </c>
      <c r="K22" s="10">
        <f>IFERROR(IF(过程品仓计算!I22="",0,过程品仓计算!I22)*IF(过程品仓计算!J22="",0,过程品仓计算!J22),0)</f>
        <v/>
      </c>
      <c r="L22" s="10">
        <f>IFERROR(MAX(过程品仓计算!H22,过程品仓计算!K22),0)</f>
        <v/>
      </c>
      <c r="M22" s="9" t="n"/>
      <c r="N22" s="9" t="n"/>
      <c r="O22" s="9" t="n"/>
      <c r="P22" s="10">
        <f>IFERROR(过程品仓计算!L22+IF(过程品仓计算!M22="",0,过程品仓计算!M22)+IF(过程品仓计算!N22="",0,过程品仓计算!N22)+IF(过程品仓计算!O22="",0,过程品仓计算!O22),0)</f>
        <v/>
      </c>
      <c r="Q22" s="10">
        <f>IFERROR(CEILING(过程品仓计算!P22/MAX(产品SKU!M6,1),1)*参数设置!$C$13/MAX(参数设置!$C$14,1)/参数设置!$C$18*参数设置!$C$21,0)</f>
        <v/>
      </c>
    </row>
    <row r="23" ht="20" customHeight="1">
      <c r="A23" s="13" t="n">
        <v>5</v>
      </c>
      <c r="B23" s="16" t="inlineStr">
        <is>
          <t>工序2后暂存</t>
        </is>
      </c>
      <c r="C23" s="16">
        <f>IFERROR(产品SKU!B7,"")</f>
        <v/>
      </c>
      <c r="D23" s="16">
        <f>IFERROR(产品SKU!D7,"")</f>
        <v/>
      </c>
      <c r="E23" s="10">
        <f>IFERROR(产品SKU!G7,0)</f>
        <v/>
      </c>
      <c r="F23" s="10">
        <f>IFERROR(过程品仓计算!E23/参数设置!$C$5,0)</f>
        <v/>
      </c>
      <c r="G23" s="10">
        <f>IFERROR(产品SKU!P7,0)</f>
        <v/>
      </c>
      <c r="H23" s="10">
        <f>IFERROR(过程品仓计算!F23*过程品仓计算!G23,0)</f>
        <v/>
      </c>
      <c r="I23" s="9" t="n"/>
      <c r="J23" s="9" t="n">
        <v>2</v>
      </c>
      <c r="K23" s="10">
        <f>IFERROR(IF(过程品仓计算!I23="",0,过程品仓计算!I23)*IF(过程品仓计算!J23="",0,过程品仓计算!J23),0)</f>
        <v/>
      </c>
      <c r="L23" s="10">
        <f>IFERROR(MAX(过程品仓计算!H23,过程品仓计算!K23),0)</f>
        <v/>
      </c>
      <c r="M23" s="9" t="n"/>
      <c r="N23" s="9" t="n"/>
      <c r="O23" s="9" t="n"/>
      <c r="P23" s="10">
        <f>IFERROR(过程品仓计算!L23+IF(过程品仓计算!M23="",0,过程品仓计算!M23)+IF(过程品仓计算!N23="",0,过程品仓计算!N23)+IF(过程品仓计算!O23="",0,过程品仓计算!O23),0)</f>
        <v/>
      </c>
      <c r="Q23" s="10">
        <f>IFERROR(CEILING(过程品仓计算!P23/MAX(产品SKU!M7,1),1)*参数设置!$C$13/MAX(参数设置!$C$14,1)/参数设置!$C$18*参数设置!$C$21,0)</f>
        <v/>
      </c>
    </row>
    <row r="24" ht="20" customHeight="1">
      <c r="A24" s="13" t="n">
        <v>6</v>
      </c>
      <c r="B24" s="16" t="inlineStr">
        <is>
          <t>工序2后暂存</t>
        </is>
      </c>
      <c r="C24" s="16">
        <f>IFERROR(产品SKU!B8,"")</f>
        <v/>
      </c>
      <c r="D24" s="16">
        <f>IFERROR(产品SKU!D8,"")</f>
        <v/>
      </c>
      <c r="E24" s="10">
        <f>IFERROR(产品SKU!G8,0)</f>
        <v/>
      </c>
      <c r="F24" s="10">
        <f>IFERROR(过程品仓计算!E24/参数设置!$C$5,0)</f>
        <v/>
      </c>
      <c r="G24" s="10">
        <f>IFERROR(产品SKU!P8,0)</f>
        <v/>
      </c>
      <c r="H24" s="10">
        <f>IFERROR(过程品仓计算!F24*过程品仓计算!G24,0)</f>
        <v/>
      </c>
      <c r="I24" s="9" t="n"/>
      <c r="J24" s="9" t="n">
        <v>2</v>
      </c>
      <c r="K24" s="10">
        <f>IFERROR(IF(过程品仓计算!I24="",0,过程品仓计算!I24)*IF(过程品仓计算!J24="",0,过程品仓计算!J24),0)</f>
        <v/>
      </c>
      <c r="L24" s="10">
        <f>IFERROR(MAX(过程品仓计算!H24,过程品仓计算!K24),0)</f>
        <v/>
      </c>
      <c r="M24" s="9" t="n"/>
      <c r="N24" s="9" t="n"/>
      <c r="O24" s="9" t="n"/>
      <c r="P24" s="10">
        <f>IFERROR(过程品仓计算!L24+IF(过程品仓计算!M24="",0,过程品仓计算!M24)+IF(过程品仓计算!N24="",0,过程品仓计算!N24)+IF(过程品仓计算!O24="",0,过程品仓计算!O24),0)</f>
        <v/>
      </c>
      <c r="Q24" s="10">
        <f>IFERROR(CEILING(过程品仓计算!P24/MAX(产品SKU!M8,1),1)*参数设置!$C$13/MAX(参数设置!$C$14,1)/参数设置!$C$18*参数设置!$C$21,0)</f>
        <v/>
      </c>
    </row>
    <row r="25" ht="20" customHeight="1">
      <c r="A25" s="13" t="n">
        <v>7</v>
      </c>
      <c r="B25" s="16" t="inlineStr">
        <is>
          <t>工序2后暂存</t>
        </is>
      </c>
      <c r="C25" s="16">
        <f>IFERROR(产品SKU!B9,"")</f>
        <v/>
      </c>
      <c r="D25" s="16">
        <f>IFERROR(产品SKU!D9,"")</f>
        <v/>
      </c>
      <c r="E25" s="10">
        <f>IFERROR(产品SKU!G9,0)</f>
        <v/>
      </c>
      <c r="F25" s="10">
        <f>IFERROR(过程品仓计算!E25/参数设置!$C$5,0)</f>
        <v/>
      </c>
      <c r="G25" s="10">
        <f>IFERROR(产品SKU!P9,0)</f>
        <v/>
      </c>
      <c r="H25" s="10">
        <f>IFERROR(过程品仓计算!F25*过程品仓计算!G25,0)</f>
        <v/>
      </c>
      <c r="I25" s="9" t="n"/>
      <c r="J25" s="9" t="n">
        <v>2</v>
      </c>
      <c r="K25" s="10">
        <f>IFERROR(IF(过程品仓计算!I25="",0,过程品仓计算!I25)*IF(过程品仓计算!J25="",0,过程品仓计算!J25),0)</f>
        <v/>
      </c>
      <c r="L25" s="10">
        <f>IFERROR(MAX(过程品仓计算!H25,过程品仓计算!K25),0)</f>
        <v/>
      </c>
      <c r="M25" s="9" t="n"/>
      <c r="N25" s="9" t="n"/>
      <c r="O25" s="9" t="n"/>
      <c r="P25" s="10">
        <f>IFERROR(过程品仓计算!L25+IF(过程品仓计算!M25="",0,过程品仓计算!M25)+IF(过程品仓计算!N25="",0,过程品仓计算!N25)+IF(过程品仓计算!O25="",0,过程品仓计算!O25),0)</f>
        <v/>
      </c>
      <c r="Q25" s="10">
        <f>IFERROR(CEILING(过程品仓计算!P25/MAX(产品SKU!M9,1),1)*参数设置!$C$13/MAX(参数设置!$C$14,1)/参数设置!$C$18*参数设置!$C$21,0)</f>
        <v/>
      </c>
    </row>
    <row r="26" ht="20" customHeight="1">
      <c r="A26" s="13" t="n">
        <v>8</v>
      </c>
      <c r="B26" s="16" t="inlineStr">
        <is>
          <t>工序2后暂存</t>
        </is>
      </c>
      <c r="C26" s="16">
        <f>IFERROR(产品SKU!B10,"")</f>
        <v/>
      </c>
      <c r="D26" s="16">
        <f>IFERROR(产品SKU!D10,"")</f>
        <v/>
      </c>
      <c r="E26" s="10">
        <f>IFERROR(产品SKU!G10,0)</f>
        <v/>
      </c>
      <c r="F26" s="10">
        <f>IFERROR(过程品仓计算!E26/参数设置!$C$5,0)</f>
        <v/>
      </c>
      <c r="G26" s="10">
        <f>IFERROR(产品SKU!P10,0)</f>
        <v/>
      </c>
      <c r="H26" s="10">
        <f>IFERROR(过程品仓计算!F26*过程品仓计算!G26,0)</f>
        <v/>
      </c>
      <c r="I26" s="9" t="n"/>
      <c r="J26" s="9" t="n">
        <v>2</v>
      </c>
      <c r="K26" s="10">
        <f>IFERROR(IF(过程品仓计算!I26="",0,过程品仓计算!I26)*IF(过程品仓计算!J26="",0,过程品仓计算!J26),0)</f>
        <v/>
      </c>
      <c r="L26" s="10">
        <f>IFERROR(MAX(过程品仓计算!H26,过程品仓计算!K26),0)</f>
        <v/>
      </c>
      <c r="M26" s="9" t="n"/>
      <c r="N26" s="9" t="n"/>
      <c r="O26" s="9" t="n"/>
      <c r="P26" s="10">
        <f>IFERROR(过程品仓计算!L26+IF(过程品仓计算!M26="",0,过程品仓计算!M26)+IF(过程品仓计算!N26="",0,过程品仓计算!N26)+IF(过程品仓计算!O26="",0,过程品仓计算!O26),0)</f>
        <v/>
      </c>
      <c r="Q26" s="10">
        <f>IFERROR(CEILING(过程品仓计算!P26/MAX(产品SKU!M10,1),1)*参数设置!$C$13/MAX(参数设置!$C$14,1)/参数设置!$C$18*参数设置!$C$21,0)</f>
        <v/>
      </c>
    </row>
    <row r="27" ht="20" customHeight="1">
      <c r="A27" s="13" t="n">
        <v>9</v>
      </c>
      <c r="B27" s="16" t="inlineStr">
        <is>
          <t>工序2后暂存</t>
        </is>
      </c>
      <c r="C27" s="16">
        <f>IFERROR(产品SKU!B11,"")</f>
        <v/>
      </c>
      <c r="D27" s="16">
        <f>IFERROR(产品SKU!D11,"")</f>
        <v/>
      </c>
      <c r="E27" s="10">
        <f>IFERROR(产品SKU!G11,0)</f>
        <v/>
      </c>
      <c r="F27" s="10">
        <f>IFERROR(过程品仓计算!E27/参数设置!$C$5,0)</f>
        <v/>
      </c>
      <c r="G27" s="10">
        <f>IFERROR(产品SKU!P11,0)</f>
        <v/>
      </c>
      <c r="H27" s="10">
        <f>IFERROR(过程品仓计算!F27*过程品仓计算!G27,0)</f>
        <v/>
      </c>
      <c r="I27" s="9" t="n"/>
      <c r="J27" s="9" t="n">
        <v>2</v>
      </c>
      <c r="K27" s="10">
        <f>IFERROR(IF(过程品仓计算!I27="",0,过程品仓计算!I27)*IF(过程品仓计算!J27="",0,过程品仓计算!J27),0)</f>
        <v/>
      </c>
      <c r="L27" s="10">
        <f>IFERROR(MAX(过程品仓计算!H27,过程品仓计算!K27),0)</f>
        <v/>
      </c>
      <c r="M27" s="9" t="n"/>
      <c r="N27" s="9" t="n"/>
      <c r="O27" s="9" t="n"/>
      <c r="P27" s="10">
        <f>IFERROR(过程品仓计算!L27+IF(过程品仓计算!M27="",0,过程品仓计算!M27)+IF(过程品仓计算!N27="",0,过程品仓计算!N27)+IF(过程品仓计算!O27="",0,过程品仓计算!O27),0)</f>
        <v/>
      </c>
      <c r="Q27" s="10">
        <f>IFERROR(CEILING(过程品仓计算!P27/MAX(产品SKU!M11,1),1)*参数设置!$C$13/MAX(参数设置!$C$14,1)/参数设置!$C$18*参数设置!$C$21,0)</f>
        <v/>
      </c>
    </row>
    <row r="28" ht="20" customHeight="1">
      <c r="A28" s="13" t="n">
        <v>10</v>
      </c>
      <c r="B28" s="16" t="inlineStr">
        <is>
          <t>工序2后暂存</t>
        </is>
      </c>
      <c r="C28" s="16">
        <f>IFERROR(产品SKU!B12,"")</f>
        <v/>
      </c>
      <c r="D28" s="16">
        <f>IFERROR(产品SKU!D12,"")</f>
        <v/>
      </c>
      <c r="E28" s="10">
        <f>IFERROR(产品SKU!G12,0)</f>
        <v/>
      </c>
      <c r="F28" s="10">
        <f>IFERROR(过程品仓计算!E28/参数设置!$C$5,0)</f>
        <v/>
      </c>
      <c r="G28" s="10">
        <f>IFERROR(产品SKU!P12,0)</f>
        <v/>
      </c>
      <c r="H28" s="10">
        <f>IFERROR(过程品仓计算!F28*过程品仓计算!G28,0)</f>
        <v/>
      </c>
      <c r="I28" s="9" t="n"/>
      <c r="J28" s="9" t="n">
        <v>2</v>
      </c>
      <c r="K28" s="10">
        <f>IFERROR(IF(过程品仓计算!I28="",0,过程品仓计算!I28)*IF(过程品仓计算!J28="",0,过程品仓计算!J28),0)</f>
        <v/>
      </c>
      <c r="L28" s="10">
        <f>IFERROR(MAX(过程品仓计算!H28,过程品仓计算!K28),0)</f>
        <v/>
      </c>
      <c r="M28" s="9" t="n"/>
      <c r="N28" s="9" t="n"/>
      <c r="O28" s="9" t="n"/>
      <c r="P28" s="10">
        <f>IFERROR(过程品仓计算!L28+IF(过程品仓计算!M28="",0,过程品仓计算!M28)+IF(过程品仓计算!N28="",0,过程品仓计算!N28)+IF(过程品仓计算!O28="",0,过程品仓计算!O28),0)</f>
        <v/>
      </c>
      <c r="Q28" s="10">
        <f>IFERROR(CEILING(过程品仓计算!P28/MAX(产品SKU!M12,1),1)*参数设置!$C$13/MAX(参数设置!$C$14,1)/参数设置!$C$18*参数设置!$C$21,0)</f>
        <v/>
      </c>
    </row>
    <row r="29" ht="20" customHeight="1">
      <c r="A29" s="13" t="n">
        <v>11</v>
      </c>
      <c r="B29" s="16" t="inlineStr">
        <is>
          <t>工序2后暂存</t>
        </is>
      </c>
      <c r="C29" s="16">
        <f>IFERROR(产品SKU!B13,"")</f>
        <v/>
      </c>
      <c r="D29" s="16">
        <f>IFERROR(产品SKU!D13,"")</f>
        <v/>
      </c>
      <c r="E29" s="10">
        <f>IFERROR(产品SKU!G13,0)</f>
        <v/>
      </c>
      <c r="F29" s="10">
        <f>IFERROR(过程品仓计算!E29/参数设置!$C$5,0)</f>
        <v/>
      </c>
      <c r="G29" s="10">
        <f>IFERROR(产品SKU!P13,0)</f>
        <v/>
      </c>
      <c r="H29" s="10">
        <f>IFERROR(过程品仓计算!F29*过程品仓计算!G29,0)</f>
        <v/>
      </c>
      <c r="I29" s="9" t="n"/>
      <c r="J29" s="9" t="n">
        <v>2</v>
      </c>
      <c r="K29" s="10">
        <f>IFERROR(IF(过程品仓计算!I29="",0,过程品仓计算!I29)*IF(过程品仓计算!J29="",0,过程品仓计算!J29),0)</f>
        <v/>
      </c>
      <c r="L29" s="10">
        <f>IFERROR(MAX(过程品仓计算!H29,过程品仓计算!K29),0)</f>
        <v/>
      </c>
      <c r="M29" s="9" t="n"/>
      <c r="N29" s="9" t="n"/>
      <c r="O29" s="9" t="n"/>
      <c r="P29" s="10">
        <f>IFERROR(过程品仓计算!L29+IF(过程品仓计算!M29="",0,过程品仓计算!M29)+IF(过程品仓计算!N29="",0,过程品仓计算!N29)+IF(过程品仓计算!O29="",0,过程品仓计算!O29),0)</f>
        <v/>
      </c>
      <c r="Q29" s="10">
        <f>IFERROR(CEILING(过程品仓计算!P29/MAX(产品SKU!M13,1),1)*参数设置!$C$13/MAX(参数设置!$C$14,1)/参数设置!$C$18*参数设置!$C$21,0)</f>
        <v/>
      </c>
    </row>
    <row r="30" ht="20" customHeight="1">
      <c r="A30" s="13" t="n">
        <v>12</v>
      </c>
      <c r="B30" s="16" t="inlineStr">
        <is>
          <t>工序2后暂存</t>
        </is>
      </c>
      <c r="C30" s="16">
        <f>IFERROR(产品SKU!B14,"")</f>
        <v/>
      </c>
      <c r="D30" s="16">
        <f>IFERROR(产品SKU!D14,"")</f>
        <v/>
      </c>
      <c r="E30" s="10">
        <f>IFERROR(产品SKU!G14,0)</f>
        <v/>
      </c>
      <c r="F30" s="10">
        <f>IFERROR(过程品仓计算!E30/参数设置!$C$5,0)</f>
        <v/>
      </c>
      <c r="G30" s="10">
        <f>IFERROR(产品SKU!P14,0)</f>
        <v/>
      </c>
      <c r="H30" s="10">
        <f>IFERROR(过程品仓计算!F30*过程品仓计算!G30,0)</f>
        <v/>
      </c>
      <c r="I30" s="9" t="n"/>
      <c r="J30" s="9" t="n">
        <v>2</v>
      </c>
      <c r="K30" s="10">
        <f>IFERROR(IF(过程品仓计算!I30="",0,过程品仓计算!I30)*IF(过程品仓计算!J30="",0,过程品仓计算!J30),0)</f>
        <v/>
      </c>
      <c r="L30" s="10">
        <f>IFERROR(MAX(过程品仓计算!H30,过程品仓计算!K30),0)</f>
        <v/>
      </c>
      <c r="M30" s="9" t="n"/>
      <c r="N30" s="9" t="n"/>
      <c r="O30" s="9" t="n"/>
      <c r="P30" s="10">
        <f>IFERROR(过程品仓计算!L30+IF(过程品仓计算!M30="",0,过程品仓计算!M30)+IF(过程品仓计算!N30="",0,过程品仓计算!N30)+IF(过程品仓计算!O30="",0,过程品仓计算!O30),0)</f>
        <v/>
      </c>
      <c r="Q30" s="10">
        <f>IFERROR(CEILING(过程品仓计算!P30/MAX(产品SKU!M14,1),1)*参数设置!$C$13/MAX(参数设置!$C$14,1)/参数设置!$C$18*参数设置!$C$21,0)</f>
        <v/>
      </c>
    </row>
    <row r="31" ht="20" customHeight="1">
      <c r="A31" s="19" t="inlineStr">
        <is>
          <t>工序2后暂存 小计</t>
        </is>
      </c>
      <c r="P31" s="10">
        <f>SUM(P19:P30)</f>
        <v/>
      </c>
      <c r="Q31" s="10">
        <f>SUM(Q19:Q30)</f>
        <v/>
      </c>
    </row>
    <row r="32" ht="22" customHeight="1">
      <c r="A32" s="7" t="inlineStr">
        <is>
          <t>【工序3后暂存（成品前）】</t>
        </is>
      </c>
    </row>
    <row r="33" ht="20" customHeight="1">
      <c r="A33" s="13" t="n">
        <v>1</v>
      </c>
      <c r="B33" s="16" t="inlineStr">
        <is>
          <t>工序3后暂存（成品前）</t>
        </is>
      </c>
      <c r="C33" s="16">
        <f>IFERROR(产品SKU!B3,"")</f>
        <v/>
      </c>
      <c r="D33" s="16">
        <f>IFERROR(产品SKU!D3,"")</f>
        <v/>
      </c>
      <c r="E33" s="10">
        <f>IFERROR(产品SKU!G3,0)</f>
        <v/>
      </c>
      <c r="F33" s="10">
        <f>IFERROR(过程品仓计算!E33/参数设置!$C$5,0)</f>
        <v/>
      </c>
      <c r="G33" s="10">
        <f>IFERROR(产品SKU!Q3,0)</f>
        <v/>
      </c>
      <c r="H33" s="10">
        <f>IFERROR(过程品仓计算!F33*过程品仓计算!G33,0)</f>
        <v/>
      </c>
      <c r="I33" s="9" t="n"/>
      <c r="J33" s="9" t="n">
        <v>2</v>
      </c>
      <c r="K33" s="10">
        <f>IFERROR(IF(过程品仓计算!I33="",0,过程品仓计算!I33)*IF(过程品仓计算!J33="",0,过程品仓计算!J33),0)</f>
        <v/>
      </c>
      <c r="L33" s="10">
        <f>IFERROR(MAX(过程品仓计算!H33,过程品仓计算!K33),0)</f>
        <v/>
      </c>
      <c r="M33" s="9" t="n"/>
      <c r="N33" s="9" t="n"/>
      <c r="O33" s="9" t="n"/>
      <c r="P33" s="10">
        <f>IFERROR(过程品仓计算!L33+IF(过程品仓计算!M33="",0,过程品仓计算!M33)+IF(过程品仓计算!N33="",0,过程品仓计算!N33)+IF(过程品仓计算!O33="",0,过程品仓计算!O33),0)</f>
        <v/>
      </c>
      <c r="Q33" s="10">
        <f>IFERROR(CEILING(过程品仓计算!P33/MAX(产品SKU!M3,1),1)*参数设置!$C$13/MAX(参数设置!$C$14,1)/参数设置!$C$18*参数设置!$C$21,0)</f>
        <v/>
      </c>
    </row>
    <row r="34" ht="20" customHeight="1">
      <c r="A34" s="13" t="n">
        <v>2</v>
      </c>
      <c r="B34" s="16" t="inlineStr">
        <is>
          <t>工序3后暂存（成品前）</t>
        </is>
      </c>
      <c r="C34" s="16">
        <f>IFERROR(产品SKU!B4,"")</f>
        <v/>
      </c>
      <c r="D34" s="16">
        <f>IFERROR(产品SKU!D4,"")</f>
        <v/>
      </c>
      <c r="E34" s="10">
        <f>IFERROR(产品SKU!G4,0)</f>
        <v/>
      </c>
      <c r="F34" s="10">
        <f>IFERROR(过程品仓计算!E34/参数设置!$C$5,0)</f>
        <v/>
      </c>
      <c r="G34" s="10">
        <f>IFERROR(产品SKU!Q4,0)</f>
        <v/>
      </c>
      <c r="H34" s="10">
        <f>IFERROR(过程品仓计算!F34*过程品仓计算!G34,0)</f>
        <v/>
      </c>
      <c r="I34" s="9" t="n"/>
      <c r="J34" s="9" t="n">
        <v>2</v>
      </c>
      <c r="K34" s="10">
        <f>IFERROR(IF(过程品仓计算!I34="",0,过程品仓计算!I34)*IF(过程品仓计算!J34="",0,过程品仓计算!J34),0)</f>
        <v/>
      </c>
      <c r="L34" s="10">
        <f>IFERROR(MAX(过程品仓计算!H34,过程品仓计算!K34),0)</f>
        <v/>
      </c>
      <c r="M34" s="9" t="n"/>
      <c r="N34" s="9" t="n"/>
      <c r="O34" s="9" t="n"/>
      <c r="P34" s="10">
        <f>IFERROR(过程品仓计算!L34+IF(过程品仓计算!M34="",0,过程品仓计算!M34)+IF(过程品仓计算!N34="",0,过程品仓计算!N34)+IF(过程品仓计算!O34="",0,过程品仓计算!O34),0)</f>
        <v/>
      </c>
      <c r="Q34" s="10">
        <f>IFERROR(CEILING(过程品仓计算!P34/MAX(产品SKU!M4,1),1)*参数设置!$C$13/MAX(参数设置!$C$14,1)/参数设置!$C$18*参数设置!$C$21,0)</f>
        <v/>
      </c>
    </row>
    <row r="35" ht="20" customHeight="1">
      <c r="A35" s="13" t="n">
        <v>3</v>
      </c>
      <c r="B35" s="16" t="inlineStr">
        <is>
          <t>工序3后暂存（成品前）</t>
        </is>
      </c>
      <c r="C35" s="16">
        <f>IFERROR(产品SKU!B5,"")</f>
        <v/>
      </c>
      <c r="D35" s="16">
        <f>IFERROR(产品SKU!D5,"")</f>
        <v/>
      </c>
      <c r="E35" s="10">
        <f>IFERROR(产品SKU!G5,0)</f>
        <v/>
      </c>
      <c r="F35" s="10">
        <f>IFERROR(过程品仓计算!E35/参数设置!$C$5,0)</f>
        <v/>
      </c>
      <c r="G35" s="10">
        <f>IFERROR(产品SKU!Q5,0)</f>
        <v/>
      </c>
      <c r="H35" s="10">
        <f>IFERROR(过程品仓计算!F35*过程品仓计算!G35,0)</f>
        <v/>
      </c>
      <c r="I35" s="9" t="n"/>
      <c r="J35" s="9" t="n">
        <v>2</v>
      </c>
      <c r="K35" s="10">
        <f>IFERROR(IF(过程品仓计算!I35="",0,过程品仓计算!I35)*IF(过程品仓计算!J35="",0,过程品仓计算!J35),0)</f>
        <v/>
      </c>
      <c r="L35" s="10">
        <f>IFERROR(MAX(过程品仓计算!H35,过程品仓计算!K35),0)</f>
        <v/>
      </c>
      <c r="M35" s="9" t="n"/>
      <c r="N35" s="9" t="n"/>
      <c r="O35" s="9" t="n"/>
      <c r="P35" s="10">
        <f>IFERROR(过程品仓计算!L35+IF(过程品仓计算!M35="",0,过程品仓计算!M35)+IF(过程品仓计算!N35="",0,过程品仓计算!N35)+IF(过程品仓计算!O35="",0,过程品仓计算!O35),0)</f>
        <v/>
      </c>
      <c r="Q35" s="10">
        <f>IFERROR(CEILING(过程品仓计算!P35/MAX(产品SKU!M5,1),1)*参数设置!$C$13/MAX(参数设置!$C$14,1)/参数设置!$C$18*参数设置!$C$21,0)</f>
        <v/>
      </c>
    </row>
    <row r="36" ht="20" customHeight="1">
      <c r="A36" s="13" t="n">
        <v>4</v>
      </c>
      <c r="B36" s="16" t="inlineStr">
        <is>
          <t>工序3后暂存（成品前）</t>
        </is>
      </c>
      <c r="C36" s="16">
        <f>IFERROR(产品SKU!B6,"")</f>
        <v/>
      </c>
      <c r="D36" s="16">
        <f>IFERROR(产品SKU!D6,"")</f>
        <v/>
      </c>
      <c r="E36" s="10">
        <f>IFERROR(产品SKU!G6,0)</f>
        <v/>
      </c>
      <c r="F36" s="10">
        <f>IFERROR(过程品仓计算!E36/参数设置!$C$5,0)</f>
        <v/>
      </c>
      <c r="G36" s="10">
        <f>IFERROR(产品SKU!Q6,0)</f>
        <v/>
      </c>
      <c r="H36" s="10">
        <f>IFERROR(过程品仓计算!F36*过程品仓计算!G36,0)</f>
        <v/>
      </c>
      <c r="I36" s="9" t="n"/>
      <c r="J36" s="9" t="n">
        <v>2</v>
      </c>
      <c r="K36" s="10">
        <f>IFERROR(IF(过程品仓计算!I36="",0,过程品仓计算!I36)*IF(过程品仓计算!J36="",0,过程品仓计算!J36),0)</f>
        <v/>
      </c>
      <c r="L36" s="10">
        <f>IFERROR(MAX(过程品仓计算!H36,过程品仓计算!K36),0)</f>
        <v/>
      </c>
      <c r="M36" s="9" t="n"/>
      <c r="N36" s="9" t="n"/>
      <c r="O36" s="9" t="n"/>
      <c r="P36" s="10">
        <f>IFERROR(过程品仓计算!L36+IF(过程品仓计算!M36="",0,过程品仓计算!M36)+IF(过程品仓计算!N36="",0,过程品仓计算!N36)+IF(过程品仓计算!O36="",0,过程品仓计算!O36),0)</f>
        <v/>
      </c>
      <c r="Q36" s="10">
        <f>IFERROR(CEILING(过程品仓计算!P36/MAX(产品SKU!M6,1),1)*参数设置!$C$13/MAX(参数设置!$C$14,1)/参数设置!$C$18*参数设置!$C$21,0)</f>
        <v/>
      </c>
    </row>
    <row r="37" ht="20" customHeight="1">
      <c r="A37" s="13" t="n">
        <v>5</v>
      </c>
      <c r="B37" s="16" t="inlineStr">
        <is>
          <t>工序3后暂存（成品前）</t>
        </is>
      </c>
      <c r="C37" s="16">
        <f>IFERROR(产品SKU!B7,"")</f>
        <v/>
      </c>
      <c r="D37" s="16">
        <f>IFERROR(产品SKU!D7,"")</f>
        <v/>
      </c>
      <c r="E37" s="10">
        <f>IFERROR(产品SKU!G7,0)</f>
        <v/>
      </c>
      <c r="F37" s="10">
        <f>IFERROR(过程品仓计算!E37/参数设置!$C$5,0)</f>
        <v/>
      </c>
      <c r="G37" s="10">
        <f>IFERROR(产品SKU!Q7,0)</f>
        <v/>
      </c>
      <c r="H37" s="10">
        <f>IFERROR(过程品仓计算!F37*过程品仓计算!G37,0)</f>
        <v/>
      </c>
      <c r="I37" s="9" t="n"/>
      <c r="J37" s="9" t="n">
        <v>2</v>
      </c>
      <c r="K37" s="10">
        <f>IFERROR(IF(过程品仓计算!I37="",0,过程品仓计算!I37)*IF(过程品仓计算!J37="",0,过程品仓计算!J37),0)</f>
        <v/>
      </c>
      <c r="L37" s="10">
        <f>IFERROR(MAX(过程品仓计算!H37,过程品仓计算!K37),0)</f>
        <v/>
      </c>
      <c r="M37" s="9" t="n"/>
      <c r="N37" s="9" t="n"/>
      <c r="O37" s="9" t="n"/>
      <c r="P37" s="10">
        <f>IFERROR(过程品仓计算!L37+IF(过程品仓计算!M37="",0,过程品仓计算!M37)+IF(过程品仓计算!N37="",0,过程品仓计算!N37)+IF(过程品仓计算!O37="",0,过程品仓计算!O37),0)</f>
        <v/>
      </c>
      <c r="Q37" s="10">
        <f>IFERROR(CEILING(过程品仓计算!P37/MAX(产品SKU!M7,1),1)*参数设置!$C$13/MAX(参数设置!$C$14,1)/参数设置!$C$18*参数设置!$C$21,0)</f>
        <v/>
      </c>
    </row>
    <row r="38" ht="20" customHeight="1">
      <c r="A38" s="13" t="n">
        <v>6</v>
      </c>
      <c r="B38" s="16" t="inlineStr">
        <is>
          <t>工序3后暂存（成品前）</t>
        </is>
      </c>
      <c r="C38" s="16">
        <f>IFERROR(产品SKU!B8,"")</f>
        <v/>
      </c>
      <c r="D38" s="16">
        <f>IFERROR(产品SKU!D8,"")</f>
        <v/>
      </c>
      <c r="E38" s="10">
        <f>IFERROR(产品SKU!G8,0)</f>
        <v/>
      </c>
      <c r="F38" s="10">
        <f>IFERROR(过程品仓计算!E38/参数设置!$C$5,0)</f>
        <v/>
      </c>
      <c r="G38" s="10">
        <f>IFERROR(产品SKU!Q8,0)</f>
        <v/>
      </c>
      <c r="H38" s="10">
        <f>IFERROR(过程品仓计算!F38*过程品仓计算!G38,0)</f>
        <v/>
      </c>
      <c r="I38" s="9" t="n"/>
      <c r="J38" s="9" t="n">
        <v>2</v>
      </c>
      <c r="K38" s="10">
        <f>IFERROR(IF(过程品仓计算!I38="",0,过程品仓计算!I38)*IF(过程品仓计算!J38="",0,过程品仓计算!J38),0)</f>
        <v/>
      </c>
      <c r="L38" s="10">
        <f>IFERROR(MAX(过程品仓计算!H38,过程品仓计算!K38),0)</f>
        <v/>
      </c>
      <c r="M38" s="9" t="n"/>
      <c r="N38" s="9" t="n"/>
      <c r="O38" s="9" t="n"/>
      <c r="P38" s="10">
        <f>IFERROR(过程品仓计算!L38+IF(过程品仓计算!M38="",0,过程品仓计算!M38)+IF(过程品仓计算!N38="",0,过程品仓计算!N38)+IF(过程品仓计算!O38="",0,过程品仓计算!O38),0)</f>
        <v/>
      </c>
      <c r="Q38" s="10">
        <f>IFERROR(CEILING(过程品仓计算!P38/MAX(产品SKU!M8,1),1)*参数设置!$C$13/MAX(参数设置!$C$14,1)/参数设置!$C$18*参数设置!$C$21,0)</f>
        <v/>
      </c>
    </row>
    <row r="39" ht="20" customHeight="1">
      <c r="A39" s="13" t="n">
        <v>7</v>
      </c>
      <c r="B39" s="16" t="inlineStr">
        <is>
          <t>工序3后暂存（成品前）</t>
        </is>
      </c>
      <c r="C39" s="16">
        <f>IFERROR(产品SKU!B9,"")</f>
        <v/>
      </c>
      <c r="D39" s="16">
        <f>IFERROR(产品SKU!D9,"")</f>
        <v/>
      </c>
      <c r="E39" s="10">
        <f>IFERROR(产品SKU!G9,0)</f>
        <v/>
      </c>
      <c r="F39" s="10">
        <f>IFERROR(过程品仓计算!E39/参数设置!$C$5,0)</f>
        <v/>
      </c>
      <c r="G39" s="10">
        <f>IFERROR(产品SKU!Q9,0)</f>
        <v/>
      </c>
      <c r="H39" s="10">
        <f>IFERROR(过程品仓计算!F39*过程品仓计算!G39,0)</f>
        <v/>
      </c>
      <c r="I39" s="9" t="n"/>
      <c r="J39" s="9" t="n">
        <v>2</v>
      </c>
      <c r="K39" s="10">
        <f>IFERROR(IF(过程品仓计算!I39="",0,过程品仓计算!I39)*IF(过程品仓计算!J39="",0,过程品仓计算!J39),0)</f>
        <v/>
      </c>
      <c r="L39" s="10">
        <f>IFERROR(MAX(过程品仓计算!H39,过程品仓计算!K39),0)</f>
        <v/>
      </c>
      <c r="M39" s="9" t="n"/>
      <c r="N39" s="9" t="n"/>
      <c r="O39" s="9" t="n"/>
      <c r="P39" s="10">
        <f>IFERROR(过程品仓计算!L39+IF(过程品仓计算!M39="",0,过程品仓计算!M39)+IF(过程品仓计算!N39="",0,过程品仓计算!N39)+IF(过程品仓计算!O39="",0,过程品仓计算!O39),0)</f>
        <v/>
      </c>
      <c r="Q39" s="10">
        <f>IFERROR(CEILING(过程品仓计算!P39/MAX(产品SKU!M9,1),1)*参数设置!$C$13/MAX(参数设置!$C$14,1)/参数设置!$C$18*参数设置!$C$21,0)</f>
        <v/>
      </c>
    </row>
    <row r="40" ht="20" customHeight="1">
      <c r="A40" s="13" t="n">
        <v>8</v>
      </c>
      <c r="B40" s="16" t="inlineStr">
        <is>
          <t>工序3后暂存（成品前）</t>
        </is>
      </c>
      <c r="C40" s="16">
        <f>IFERROR(产品SKU!B10,"")</f>
        <v/>
      </c>
      <c r="D40" s="16">
        <f>IFERROR(产品SKU!D10,"")</f>
        <v/>
      </c>
      <c r="E40" s="10">
        <f>IFERROR(产品SKU!G10,0)</f>
        <v/>
      </c>
      <c r="F40" s="10">
        <f>IFERROR(过程品仓计算!E40/参数设置!$C$5,0)</f>
        <v/>
      </c>
      <c r="G40" s="10">
        <f>IFERROR(产品SKU!Q10,0)</f>
        <v/>
      </c>
      <c r="H40" s="10">
        <f>IFERROR(过程品仓计算!F40*过程品仓计算!G40,0)</f>
        <v/>
      </c>
      <c r="I40" s="9" t="n"/>
      <c r="J40" s="9" t="n">
        <v>2</v>
      </c>
      <c r="K40" s="10">
        <f>IFERROR(IF(过程品仓计算!I40="",0,过程品仓计算!I40)*IF(过程品仓计算!J40="",0,过程品仓计算!J40),0)</f>
        <v/>
      </c>
      <c r="L40" s="10">
        <f>IFERROR(MAX(过程品仓计算!H40,过程品仓计算!K40),0)</f>
        <v/>
      </c>
      <c r="M40" s="9" t="n"/>
      <c r="N40" s="9" t="n"/>
      <c r="O40" s="9" t="n"/>
      <c r="P40" s="10">
        <f>IFERROR(过程品仓计算!L40+IF(过程品仓计算!M40="",0,过程品仓计算!M40)+IF(过程品仓计算!N40="",0,过程品仓计算!N40)+IF(过程品仓计算!O40="",0,过程品仓计算!O40),0)</f>
        <v/>
      </c>
      <c r="Q40" s="10">
        <f>IFERROR(CEILING(过程品仓计算!P40/MAX(产品SKU!M10,1),1)*参数设置!$C$13/MAX(参数设置!$C$14,1)/参数设置!$C$18*参数设置!$C$21,0)</f>
        <v/>
      </c>
    </row>
    <row r="41" ht="20" customHeight="1">
      <c r="A41" s="13" t="n">
        <v>9</v>
      </c>
      <c r="B41" s="16" t="inlineStr">
        <is>
          <t>工序3后暂存（成品前）</t>
        </is>
      </c>
      <c r="C41" s="16">
        <f>IFERROR(产品SKU!B11,"")</f>
        <v/>
      </c>
      <c r="D41" s="16">
        <f>IFERROR(产品SKU!D11,"")</f>
        <v/>
      </c>
      <c r="E41" s="10">
        <f>IFERROR(产品SKU!G11,0)</f>
        <v/>
      </c>
      <c r="F41" s="10">
        <f>IFERROR(过程品仓计算!E41/参数设置!$C$5,0)</f>
        <v/>
      </c>
      <c r="G41" s="10">
        <f>IFERROR(产品SKU!Q11,0)</f>
        <v/>
      </c>
      <c r="H41" s="10">
        <f>IFERROR(过程品仓计算!F41*过程品仓计算!G41,0)</f>
        <v/>
      </c>
      <c r="I41" s="9" t="n"/>
      <c r="J41" s="9" t="n">
        <v>2</v>
      </c>
      <c r="K41" s="10">
        <f>IFERROR(IF(过程品仓计算!I41="",0,过程品仓计算!I41)*IF(过程品仓计算!J41="",0,过程品仓计算!J41),0)</f>
        <v/>
      </c>
      <c r="L41" s="10">
        <f>IFERROR(MAX(过程品仓计算!H41,过程品仓计算!K41),0)</f>
        <v/>
      </c>
      <c r="M41" s="9" t="n"/>
      <c r="N41" s="9" t="n"/>
      <c r="O41" s="9" t="n"/>
      <c r="P41" s="10">
        <f>IFERROR(过程品仓计算!L41+IF(过程品仓计算!M41="",0,过程品仓计算!M41)+IF(过程品仓计算!N41="",0,过程品仓计算!N41)+IF(过程品仓计算!O41="",0,过程品仓计算!O41),0)</f>
        <v/>
      </c>
      <c r="Q41" s="10">
        <f>IFERROR(CEILING(过程品仓计算!P41/MAX(产品SKU!M11,1),1)*参数设置!$C$13/MAX(参数设置!$C$14,1)/参数设置!$C$18*参数设置!$C$21,0)</f>
        <v/>
      </c>
    </row>
    <row r="42" ht="20" customHeight="1">
      <c r="A42" s="13" t="n">
        <v>10</v>
      </c>
      <c r="B42" s="16" t="inlineStr">
        <is>
          <t>工序3后暂存（成品前）</t>
        </is>
      </c>
      <c r="C42" s="16">
        <f>IFERROR(产品SKU!B12,"")</f>
        <v/>
      </c>
      <c r="D42" s="16">
        <f>IFERROR(产品SKU!D12,"")</f>
        <v/>
      </c>
      <c r="E42" s="10">
        <f>IFERROR(产品SKU!G12,0)</f>
        <v/>
      </c>
      <c r="F42" s="10">
        <f>IFERROR(过程品仓计算!E42/参数设置!$C$5,0)</f>
        <v/>
      </c>
      <c r="G42" s="10">
        <f>IFERROR(产品SKU!Q12,0)</f>
        <v/>
      </c>
      <c r="H42" s="10">
        <f>IFERROR(过程品仓计算!F42*过程品仓计算!G42,0)</f>
        <v/>
      </c>
      <c r="I42" s="9" t="n"/>
      <c r="J42" s="9" t="n">
        <v>2</v>
      </c>
      <c r="K42" s="10">
        <f>IFERROR(IF(过程品仓计算!I42="",0,过程品仓计算!I42)*IF(过程品仓计算!J42="",0,过程品仓计算!J42),0)</f>
        <v/>
      </c>
      <c r="L42" s="10">
        <f>IFERROR(MAX(过程品仓计算!H42,过程品仓计算!K42),0)</f>
        <v/>
      </c>
      <c r="M42" s="9" t="n"/>
      <c r="N42" s="9" t="n"/>
      <c r="O42" s="9" t="n"/>
      <c r="P42" s="10">
        <f>IFERROR(过程品仓计算!L42+IF(过程品仓计算!M42="",0,过程品仓计算!M42)+IF(过程品仓计算!N42="",0,过程品仓计算!N42)+IF(过程品仓计算!O42="",0,过程品仓计算!O42),0)</f>
        <v/>
      </c>
      <c r="Q42" s="10">
        <f>IFERROR(CEILING(过程品仓计算!P42/MAX(产品SKU!M12,1),1)*参数设置!$C$13/MAX(参数设置!$C$14,1)/参数设置!$C$18*参数设置!$C$21,0)</f>
        <v/>
      </c>
    </row>
    <row r="43" ht="20" customHeight="1">
      <c r="A43" s="13" t="n">
        <v>11</v>
      </c>
      <c r="B43" s="16" t="inlineStr">
        <is>
          <t>工序3后暂存（成品前）</t>
        </is>
      </c>
      <c r="C43" s="16">
        <f>IFERROR(产品SKU!B13,"")</f>
        <v/>
      </c>
      <c r="D43" s="16">
        <f>IFERROR(产品SKU!D13,"")</f>
        <v/>
      </c>
      <c r="E43" s="10">
        <f>IFERROR(产品SKU!G13,0)</f>
        <v/>
      </c>
      <c r="F43" s="10">
        <f>IFERROR(过程品仓计算!E43/参数设置!$C$5,0)</f>
        <v/>
      </c>
      <c r="G43" s="10">
        <f>IFERROR(产品SKU!Q13,0)</f>
        <v/>
      </c>
      <c r="H43" s="10">
        <f>IFERROR(过程品仓计算!F43*过程品仓计算!G43,0)</f>
        <v/>
      </c>
      <c r="I43" s="9" t="n"/>
      <c r="J43" s="9" t="n">
        <v>2</v>
      </c>
      <c r="K43" s="10">
        <f>IFERROR(IF(过程品仓计算!I43="",0,过程品仓计算!I43)*IF(过程品仓计算!J43="",0,过程品仓计算!J43),0)</f>
        <v/>
      </c>
      <c r="L43" s="10">
        <f>IFERROR(MAX(过程品仓计算!H43,过程品仓计算!K43),0)</f>
        <v/>
      </c>
      <c r="M43" s="9" t="n"/>
      <c r="N43" s="9" t="n"/>
      <c r="O43" s="9" t="n"/>
      <c r="P43" s="10">
        <f>IFERROR(过程品仓计算!L43+IF(过程品仓计算!M43="",0,过程品仓计算!M43)+IF(过程品仓计算!N43="",0,过程品仓计算!N43)+IF(过程品仓计算!O43="",0,过程品仓计算!O43),0)</f>
        <v/>
      </c>
      <c r="Q43" s="10">
        <f>IFERROR(CEILING(过程品仓计算!P43/MAX(产品SKU!M13,1),1)*参数设置!$C$13/MAX(参数设置!$C$14,1)/参数设置!$C$18*参数设置!$C$21,0)</f>
        <v/>
      </c>
    </row>
    <row r="44" ht="20" customHeight="1">
      <c r="A44" s="13" t="n">
        <v>12</v>
      </c>
      <c r="B44" s="16" t="inlineStr">
        <is>
          <t>工序3后暂存（成品前）</t>
        </is>
      </c>
      <c r="C44" s="16">
        <f>IFERROR(产品SKU!B14,"")</f>
        <v/>
      </c>
      <c r="D44" s="16">
        <f>IFERROR(产品SKU!D14,"")</f>
        <v/>
      </c>
      <c r="E44" s="10">
        <f>IFERROR(产品SKU!G14,0)</f>
        <v/>
      </c>
      <c r="F44" s="10">
        <f>IFERROR(过程品仓计算!E44/参数设置!$C$5,0)</f>
        <v/>
      </c>
      <c r="G44" s="10">
        <f>IFERROR(产品SKU!Q14,0)</f>
        <v/>
      </c>
      <c r="H44" s="10">
        <f>IFERROR(过程品仓计算!F44*过程品仓计算!G44,0)</f>
        <v/>
      </c>
      <c r="I44" s="9" t="n"/>
      <c r="J44" s="9" t="n">
        <v>2</v>
      </c>
      <c r="K44" s="10">
        <f>IFERROR(IF(过程品仓计算!I44="",0,过程品仓计算!I44)*IF(过程品仓计算!J44="",0,过程品仓计算!J44),0)</f>
        <v/>
      </c>
      <c r="L44" s="10">
        <f>IFERROR(MAX(过程品仓计算!H44,过程品仓计算!K44),0)</f>
        <v/>
      </c>
      <c r="M44" s="9" t="n"/>
      <c r="N44" s="9" t="n"/>
      <c r="O44" s="9" t="n"/>
      <c r="P44" s="10">
        <f>IFERROR(过程品仓计算!L44+IF(过程品仓计算!M44="",0,过程品仓计算!M44)+IF(过程品仓计算!N44="",0,过程品仓计算!N44)+IF(过程品仓计算!O44="",0,过程品仓计算!O44),0)</f>
        <v/>
      </c>
      <c r="Q44" s="10">
        <f>IFERROR(CEILING(过程品仓计算!P44/MAX(产品SKU!M14,1),1)*参数设置!$C$13/MAX(参数设置!$C$14,1)/参数设置!$C$18*参数设置!$C$21,0)</f>
        <v/>
      </c>
    </row>
    <row r="45" ht="20" customHeight="1">
      <c r="A45" s="19" t="inlineStr">
        <is>
          <t>工序3后暂存（成品前） 小计</t>
        </is>
      </c>
      <c r="P45" s="10">
        <f>SUM(P33:P44)</f>
        <v/>
      </c>
      <c r="Q45" s="10">
        <f>SUM(Q33:Q44)</f>
        <v/>
      </c>
    </row>
    <row r="46" ht="22" customHeight="1">
      <c r="A46" s="18" t="inlineStr">
        <is>
          <t>过程品仓 合计</t>
        </is>
      </c>
      <c r="P46" s="10">
        <f>SUMPRODUCT((MOD(ROW(P4:P45)-4,14)=(13))*P4:P45)</f>
        <v/>
      </c>
      <c r="Q46" s="10">
        <f>SUMPRODUCT((MOD(ROW(Q4:Q45)-4,14)=(13))*Q4:Q45)</f>
        <v/>
      </c>
    </row>
  </sheetData>
  <mergeCells count="9">
    <mergeCell ref="A18:Q18"/>
    <mergeCell ref="A4:Q4"/>
    <mergeCell ref="A2:Q2"/>
    <mergeCell ref="A45:O45"/>
    <mergeCell ref="A46:O46"/>
    <mergeCell ref="A31:O31"/>
    <mergeCell ref="A17:O17"/>
    <mergeCell ref="A1:Q1"/>
    <mergeCell ref="A32:Q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9D18E"/>
    <outlinePr summaryBelow="1" summaryRight="1"/>
    <pageSetUpPr/>
  </sheetPr>
  <dimension ref="A1:O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6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 ht="34" customHeight="1">
      <c r="A1" s="5" t="inlineStr">
        <is>
          <t>成品仓计算 — 设计库存量</t>
        </is>
      </c>
    </row>
    <row r="2" ht="24" customHeight="1">
      <c r="A2" s="15" t="inlineStr">
        <is>
          <t>公式：设计库存 = MAX(日需求×生产间隔, 日需求×目标库存天数, 最小生产批量) + 安全库存(日需求×安全天数) + 待检放行库存</t>
        </is>
      </c>
    </row>
    <row r="3" ht="54" customHeight="1">
      <c r="A3" s="6" t="inlineStr">
        <is>
          <t>行号</t>
        </is>
      </c>
      <c r="B3" s="6" t="inlineStr">
        <is>
          <t>产品编号/SKU</t>
        </is>
      </c>
      <c r="C3" s="6" t="inlineStr">
        <is>
          <t>产品名称</t>
        </is>
      </c>
      <c r="D3" s="6" t="inlineStr">
        <is>
          <t>单位</t>
        </is>
      </c>
      <c r="E3" s="6" t="inlineStr">
        <is>
          <t>日需求量
[自动]</t>
        </is>
      </c>
      <c r="F3" s="6" t="inlineStr">
        <is>
          <t>生产间隔
(天)
[自动]</t>
        </is>
      </c>
      <c r="G3" s="6" t="inlineStr">
        <is>
          <t>目标库存
天数
[自动]</t>
        </is>
      </c>
      <c r="H3" s="6" t="inlineStr">
        <is>
          <t>最小生产
批量
[自动]</t>
        </is>
      </c>
      <c r="I3" s="6" t="inlineStr">
        <is>
          <t>按生产间隔
计算库存
[自动]</t>
        </is>
      </c>
      <c r="J3" s="6" t="inlineStr">
        <is>
          <t>按目标天数
计算库存
[自动]</t>
        </is>
      </c>
      <c r="K3" s="6" t="inlineStr">
        <is>
          <t>设计基础
库存
=MAX(...)
[自动]</t>
        </is>
      </c>
      <c r="L3" s="6" t="inlineStr">
        <is>
          <t>安全库存
[自动]</t>
        </is>
      </c>
      <c r="M3" s="6" t="inlineStr">
        <is>
          <t>待检放行
库存</t>
        </is>
      </c>
      <c r="N3" s="6" t="inlineStr">
        <is>
          <t>设计库存
合计
[自动]</t>
        </is>
      </c>
      <c r="O3" s="6" t="inlineStr">
        <is>
          <t>估算占地
面积(m²)
[自动]</t>
        </is>
      </c>
    </row>
    <row r="4" ht="20" customHeight="1">
      <c r="A4" s="13" t="n">
        <v>1</v>
      </c>
      <c r="B4" s="16">
        <f>IFERROR(产品SKU!B3,"")</f>
        <v/>
      </c>
      <c r="C4" s="16">
        <f>IFERROR(产品SKU!C3,"")</f>
        <v/>
      </c>
      <c r="D4" s="16">
        <f>IFERROR(产品SKU!D3,"")</f>
        <v/>
      </c>
      <c r="E4" s="10">
        <f>IFERROR(产品SKU!G3,0)</f>
        <v/>
      </c>
      <c r="F4" s="17">
        <f>IFERROR(产品SKU!I3,0)</f>
        <v/>
      </c>
      <c r="G4" s="17">
        <f>IFERROR(产品SKU!J3,0)</f>
        <v/>
      </c>
      <c r="H4" s="17">
        <f>IFERROR(产品SKU!H3,0)</f>
        <v/>
      </c>
      <c r="I4" s="10">
        <f>IFERROR(成品仓计算!E4*成品仓计算!F4,0)</f>
        <v/>
      </c>
      <c r="J4" s="10">
        <f>IFERROR(成品仓计算!E4*成品仓计算!G4,0)</f>
        <v/>
      </c>
      <c r="K4" s="10">
        <f>IFERROR(MAX(成品仓计算!I4,成品仓计算!J4,成品仓计算!H4),0)</f>
        <v/>
      </c>
      <c r="L4" s="10">
        <f>IFERROR(成品仓计算!E4*产品SKU!K3*参数设置!$C$9,0)</f>
        <v/>
      </c>
      <c r="M4" s="9" t="n"/>
      <c r="N4" s="10">
        <f>IFERROR(成品仓计算!K4+成品仓计算!L4+IF(成品仓计算!M4="",0,成品仓计算!M4),0)</f>
        <v/>
      </c>
      <c r="O4" s="10">
        <f>IFERROR(CEILING(成品仓计算!N4/MAX(产品SKU!M3,1),1)*参数设置!$C$13/MAX(参数设置!$C$14,1)/参数设置!$C$19*参数设置!$C$21,0)</f>
        <v/>
      </c>
    </row>
    <row r="5" ht="20" customHeight="1">
      <c r="A5" s="13" t="n">
        <v>2</v>
      </c>
      <c r="B5" s="16">
        <f>IFERROR(产品SKU!B4,"")</f>
        <v/>
      </c>
      <c r="C5" s="16">
        <f>IFERROR(产品SKU!C4,"")</f>
        <v/>
      </c>
      <c r="D5" s="16">
        <f>IFERROR(产品SKU!D4,"")</f>
        <v/>
      </c>
      <c r="E5" s="10">
        <f>IFERROR(产品SKU!G4,0)</f>
        <v/>
      </c>
      <c r="F5" s="17">
        <f>IFERROR(产品SKU!I4,0)</f>
        <v/>
      </c>
      <c r="G5" s="17">
        <f>IFERROR(产品SKU!J4,0)</f>
        <v/>
      </c>
      <c r="H5" s="17">
        <f>IFERROR(产品SKU!H4,0)</f>
        <v/>
      </c>
      <c r="I5" s="10">
        <f>IFERROR(成品仓计算!E5*成品仓计算!F5,0)</f>
        <v/>
      </c>
      <c r="J5" s="10">
        <f>IFERROR(成品仓计算!E5*成品仓计算!G5,0)</f>
        <v/>
      </c>
      <c r="K5" s="10">
        <f>IFERROR(MAX(成品仓计算!I5,成品仓计算!J5,成品仓计算!H5),0)</f>
        <v/>
      </c>
      <c r="L5" s="10">
        <f>IFERROR(成品仓计算!E5*产品SKU!K4*参数设置!$C$9,0)</f>
        <v/>
      </c>
      <c r="M5" s="9" t="n"/>
      <c r="N5" s="10">
        <f>IFERROR(成品仓计算!K5+成品仓计算!L5+IF(成品仓计算!M5="",0,成品仓计算!M5),0)</f>
        <v/>
      </c>
      <c r="O5" s="10">
        <f>IFERROR(CEILING(成品仓计算!N5/MAX(产品SKU!M4,1),1)*参数设置!$C$13/MAX(参数设置!$C$14,1)/参数设置!$C$19*参数设置!$C$21,0)</f>
        <v/>
      </c>
    </row>
    <row r="6" ht="20" customHeight="1">
      <c r="A6" s="13" t="n">
        <v>3</v>
      </c>
      <c r="B6" s="16">
        <f>IFERROR(产品SKU!B5,"")</f>
        <v/>
      </c>
      <c r="C6" s="16">
        <f>IFERROR(产品SKU!C5,"")</f>
        <v/>
      </c>
      <c r="D6" s="16">
        <f>IFERROR(产品SKU!D5,"")</f>
        <v/>
      </c>
      <c r="E6" s="10">
        <f>IFERROR(产品SKU!G5,0)</f>
        <v/>
      </c>
      <c r="F6" s="17">
        <f>IFERROR(产品SKU!I5,0)</f>
        <v/>
      </c>
      <c r="G6" s="17">
        <f>IFERROR(产品SKU!J5,0)</f>
        <v/>
      </c>
      <c r="H6" s="17">
        <f>IFERROR(产品SKU!H5,0)</f>
        <v/>
      </c>
      <c r="I6" s="10">
        <f>IFERROR(成品仓计算!E6*成品仓计算!F6,0)</f>
        <v/>
      </c>
      <c r="J6" s="10">
        <f>IFERROR(成品仓计算!E6*成品仓计算!G6,0)</f>
        <v/>
      </c>
      <c r="K6" s="10">
        <f>IFERROR(MAX(成品仓计算!I6,成品仓计算!J6,成品仓计算!H6),0)</f>
        <v/>
      </c>
      <c r="L6" s="10">
        <f>IFERROR(成品仓计算!E6*产品SKU!K5*参数设置!$C$9,0)</f>
        <v/>
      </c>
      <c r="M6" s="9" t="n"/>
      <c r="N6" s="10">
        <f>IFERROR(成品仓计算!K6+成品仓计算!L6+IF(成品仓计算!M6="",0,成品仓计算!M6),0)</f>
        <v/>
      </c>
      <c r="O6" s="10">
        <f>IFERROR(CEILING(成品仓计算!N6/MAX(产品SKU!M5,1),1)*参数设置!$C$13/MAX(参数设置!$C$14,1)/参数设置!$C$19*参数设置!$C$21,0)</f>
        <v/>
      </c>
    </row>
    <row r="7" ht="20" customHeight="1">
      <c r="A7" s="13" t="n">
        <v>4</v>
      </c>
      <c r="B7" s="16">
        <f>IFERROR(产品SKU!B6,"")</f>
        <v/>
      </c>
      <c r="C7" s="16">
        <f>IFERROR(产品SKU!C6,"")</f>
        <v/>
      </c>
      <c r="D7" s="16">
        <f>IFERROR(产品SKU!D6,"")</f>
        <v/>
      </c>
      <c r="E7" s="10">
        <f>IFERROR(产品SKU!G6,0)</f>
        <v/>
      </c>
      <c r="F7" s="17">
        <f>IFERROR(产品SKU!I6,0)</f>
        <v/>
      </c>
      <c r="G7" s="17">
        <f>IFERROR(产品SKU!J6,0)</f>
        <v/>
      </c>
      <c r="H7" s="17">
        <f>IFERROR(产品SKU!H6,0)</f>
        <v/>
      </c>
      <c r="I7" s="10">
        <f>IFERROR(成品仓计算!E7*成品仓计算!F7,0)</f>
        <v/>
      </c>
      <c r="J7" s="10">
        <f>IFERROR(成品仓计算!E7*成品仓计算!G7,0)</f>
        <v/>
      </c>
      <c r="K7" s="10">
        <f>IFERROR(MAX(成品仓计算!I7,成品仓计算!J7,成品仓计算!H7),0)</f>
        <v/>
      </c>
      <c r="L7" s="10">
        <f>IFERROR(成品仓计算!E7*产品SKU!K6*参数设置!$C$9,0)</f>
        <v/>
      </c>
      <c r="M7" s="9" t="n"/>
      <c r="N7" s="10">
        <f>IFERROR(成品仓计算!K7+成品仓计算!L7+IF(成品仓计算!M7="",0,成品仓计算!M7),0)</f>
        <v/>
      </c>
      <c r="O7" s="10">
        <f>IFERROR(CEILING(成品仓计算!N7/MAX(产品SKU!M6,1),1)*参数设置!$C$13/MAX(参数设置!$C$14,1)/参数设置!$C$19*参数设置!$C$21,0)</f>
        <v/>
      </c>
    </row>
    <row r="8" ht="20" customHeight="1">
      <c r="A8" s="13" t="n">
        <v>5</v>
      </c>
      <c r="B8" s="16">
        <f>IFERROR(产品SKU!B7,"")</f>
        <v/>
      </c>
      <c r="C8" s="16">
        <f>IFERROR(产品SKU!C7,"")</f>
        <v/>
      </c>
      <c r="D8" s="16">
        <f>IFERROR(产品SKU!D7,"")</f>
        <v/>
      </c>
      <c r="E8" s="10">
        <f>IFERROR(产品SKU!G7,0)</f>
        <v/>
      </c>
      <c r="F8" s="17">
        <f>IFERROR(产品SKU!I7,0)</f>
        <v/>
      </c>
      <c r="G8" s="17">
        <f>IFERROR(产品SKU!J7,0)</f>
        <v/>
      </c>
      <c r="H8" s="17">
        <f>IFERROR(产品SKU!H7,0)</f>
        <v/>
      </c>
      <c r="I8" s="10">
        <f>IFERROR(成品仓计算!E8*成品仓计算!F8,0)</f>
        <v/>
      </c>
      <c r="J8" s="10">
        <f>IFERROR(成品仓计算!E8*成品仓计算!G8,0)</f>
        <v/>
      </c>
      <c r="K8" s="10">
        <f>IFERROR(MAX(成品仓计算!I8,成品仓计算!J8,成品仓计算!H8),0)</f>
        <v/>
      </c>
      <c r="L8" s="10">
        <f>IFERROR(成品仓计算!E8*产品SKU!K7*参数设置!$C$9,0)</f>
        <v/>
      </c>
      <c r="M8" s="9" t="n"/>
      <c r="N8" s="10">
        <f>IFERROR(成品仓计算!K8+成品仓计算!L8+IF(成品仓计算!M8="",0,成品仓计算!M8),0)</f>
        <v/>
      </c>
      <c r="O8" s="10">
        <f>IFERROR(CEILING(成品仓计算!N8/MAX(产品SKU!M7,1),1)*参数设置!$C$13/MAX(参数设置!$C$14,1)/参数设置!$C$19*参数设置!$C$21,0)</f>
        <v/>
      </c>
    </row>
    <row r="9" ht="20" customHeight="1">
      <c r="A9" s="13" t="n">
        <v>6</v>
      </c>
      <c r="B9" s="16">
        <f>IFERROR(产品SKU!B8,"")</f>
        <v/>
      </c>
      <c r="C9" s="16">
        <f>IFERROR(产品SKU!C8,"")</f>
        <v/>
      </c>
      <c r="D9" s="16">
        <f>IFERROR(产品SKU!D8,"")</f>
        <v/>
      </c>
      <c r="E9" s="10">
        <f>IFERROR(产品SKU!G8,0)</f>
        <v/>
      </c>
      <c r="F9" s="17">
        <f>IFERROR(产品SKU!I8,0)</f>
        <v/>
      </c>
      <c r="G9" s="17">
        <f>IFERROR(产品SKU!J8,0)</f>
        <v/>
      </c>
      <c r="H9" s="17">
        <f>IFERROR(产品SKU!H8,0)</f>
        <v/>
      </c>
      <c r="I9" s="10">
        <f>IFERROR(成品仓计算!E9*成品仓计算!F9,0)</f>
        <v/>
      </c>
      <c r="J9" s="10">
        <f>IFERROR(成品仓计算!E9*成品仓计算!G9,0)</f>
        <v/>
      </c>
      <c r="K9" s="10">
        <f>IFERROR(MAX(成品仓计算!I9,成品仓计算!J9,成品仓计算!H9),0)</f>
        <v/>
      </c>
      <c r="L9" s="10">
        <f>IFERROR(成品仓计算!E9*产品SKU!K8*参数设置!$C$9,0)</f>
        <v/>
      </c>
      <c r="M9" s="9" t="n"/>
      <c r="N9" s="10">
        <f>IFERROR(成品仓计算!K9+成品仓计算!L9+IF(成品仓计算!M9="",0,成品仓计算!M9),0)</f>
        <v/>
      </c>
      <c r="O9" s="10">
        <f>IFERROR(CEILING(成品仓计算!N9/MAX(产品SKU!M8,1),1)*参数设置!$C$13/MAX(参数设置!$C$14,1)/参数设置!$C$19*参数设置!$C$21,0)</f>
        <v/>
      </c>
    </row>
    <row r="10" ht="20" customHeight="1">
      <c r="A10" s="13" t="n">
        <v>7</v>
      </c>
      <c r="B10" s="16">
        <f>IFERROR(产品SKU!B9,"")</f>
        <v/>
      </c>
      <c r="C10" s="16">
        <f>IFERROR(产品SKU!C9,"")</f>
        <v/>
      </c>
      <c r="D10" s="16">
        <f>IFERROR(产品SKU!D9,"")</f>
        <v/>
      </c>
      <c r="E10" s="10">
        <f>IFERROR(产品SKU!G9,0)</f>
        <v/>
      </c>
      <c r="F10" s="17">
        <f>IFERROR(产品SKU!I9,0)</f>
        <v/>
      </c>
      <c r="G10" s="17">
        <f>IFERROR(产品SKU!J9,0)</f>
        <v/>
      </c>
      <c r="H10" s="17">
        <f>IFERROR(产品SKU!H9,0)</f>
        <v/>
      </c>
      <c r="I10" s="10">
        <f>IFERROR(成品仓计算!E10*成品仓计算!F10,0)</f>
        <v/>
      </c>
      <c r="J10" s="10">
        <f>IFERROR(成品仓计算!E10*成品仓计算!G10,0)</f>
        <v/>
      </c>
      <c r="K10" s="10">
        <f>IFERROR(MAX(成品仓计算!I10,成品仓计算!J10,成品仓计算!H10),0)</f>
        <v/>
      </c>
      <c r="L10" s="10">
        <f>IFERROR(成品仓计算!E10*产品SKU!K9*参数设置!$C$9,0)</f>
        <v/>
      </c>
      <c r="M10" s="9" t="n"/>
      <c r="N10" s="10">
        <f>IFERROR(成品仓计算!K10+成品仓计算!L10+IF(成品仓计算!M10="",0,成品仓计算!M10),0)</f>
        <v/>
      </c>
      <c r="O10" s="10">
        <f>IFERROR(CEILING(成品仓计算!N10/MAX(产品SKU!M9,1),1)*参数设置!$C$13/MAX(参数设置!$C$14,1)/参数设置!$C$19*参数设置!$C$21,0)</f>
        <v/>
      </c>
    </row>
    <row r="11" ht="20" customHeight="1">
      <c r="A11" s="13" t="n">
        <v>8</v>
      </c>
      <c r="B11" s="16">
        <f>IFERROR(产品SKU!B10,"")</f>
        <v/>
      </c>
      <c r="C11" s="16">
        <f>IFERROR(产品SKU!C10,"")</f>
        <v/>
      </c>
      <c r="D11" s="16">
        <f>IFERROR(产品SKU!D10,"")</f>
        <v/>
      </c>
      <c r="E11" s="10">
        <f>IFERROR(产品SKU!G10,0)</f>
        <v/>
      </c>
      <c r="F11" s="17">
        <f>IFERROR(产品SKU!I10,0)</f>
        <v/>
      </c>
      <c r="G11" s="17">
        <f>IFERROR(产品SKU!J10,0)</f>
        <v/>
      </c>
      <c r="H11" s="17">
        <f>IFERROR(产品SKU!H10,0)</f>
        <v/>
      </c>
      <c r="I11" s="10">
        <f>IFERROR(成品仓计算!E11*成品仓计算!F11,0)</f>
        <v/>
      </c>
      <c r="J11" s="10">
        <f>IFERROR(成品仓计算!E11*成品仓计算!G11,0)</f>
        <v/>
      </c>
      <c r="K11" s="10">
        <f>IFERROR(MAX(成品仓计算!I11,成品仓计算!J11,成品仓计算!H11),0)</f>
        <v/>
      </c>
      <c r="L11" s="10">
        <f>IFERROR(成品仓计算!E11*产品SKU!K10*参数设置!$C$9,0)</f>
        <v/>
      </c>
      <c r="M11" s="9" t="n"/>
      <c r="N11" s="10">
        <f>IFERROR(成品仓计算!K11+成品仓计算!L11+IF(成品仓计算!M11="",0,成品仓计算!M11),0)</f>
        <v/>
      </c>
      <c r="O11" s="10">
        <f>IFERROR(CEILING(成品仓计算!N11/MAX(产品SKU!M10,1),1)*参数设置!$C$13/MAX(参数设置!$C$14,1)/参数设置!$C$19*参数设置!$C$21,0)</f>
        <v/>
      </c>
    </row>
    <row r="12" ht="20" customHeight="1">
      <c r="A12" s="13" t="n">
        <v>9</v>
      </c>
      <c r="B12" s="16">
        <f>IFERROR(产品SKU!B11,"")</f>
        <v/>
      </c>
      <c r="C12" s="16">
        <f>IFERROR(产品SKU!C11,"")</f>
        <v/>
      </c>
      <c r="D12" s="16">
        <f>IFERROR(产品SKU!D11,"")</f>
        <v/>
      </c>
      <c r="E12" s="10">
        <f>IFERROR(产品SKU!G11,0)</f>
        <v/>
      </c>
      <c r="F12" s="17">
        <f>IFERROR(产品SKU!I11,0)</f>
        <v/>
      </c>
      <c r="G12" s="17">
        <f>IFERROR(产品SKU!J11,0)</f>
        <v/>
      </c>
      <c r="H12" s="17">
        <f>IFERROR(产品SKU!H11,0)</f>
        <v/>
      </c>
      <c r="I12" s="10">
        <f>IFERROR(成品仓计算!E12*成品仓计算!F12,0)</f>
        <v/>
      </c>
      <c r="J12" s="10">
        <f>IFERROR(成品仓计算!E12*成品仓计算!G12,0)</f>
        <v/>
      </c>
      <c r="K12" s="10">
        <f>IFERROR(MAX(成品仓计算!I12,成品仓计算!J12,成品仓计算!H12),0)</f>
        <v/>
      </c>
      <c r="L12" s="10">
        <f>IFERROR(成品仓计算!E12*产品SKU!K11*参数设置!$C$9,0)</f>
        <v/>
      </c>
      <c r="M12" s="9" t="n"/>
      <c r="N12" s="10">
        <f>IFERROR(成品仓计算!K12+成品仓计算!L12+IF(成品仓计算!M12="",0,成品仓计算!M12),0)</f>
        <v/>
      </c>
      <c r="O12" s="10">
        <f>IFERROR(CEILING(成品仓计算!N12/MAX(产品SKU!M11,1),1)*参数设置!$C$13/MAX(参数设置!$C$14,1)/参数设置!$C$19*参数设置!$C$21,0)</f>
        <v/>
      </c>
    </row>
    <row r="13" ht="20" customHeight="1">
      <c r="A13" s="13" t="n">
        <v>10</v>
      </c>
      <c r="B13" s="16">
        <f>IFERROR(产品SKU!B12,"")</f>
        <v/>
      </c>
      <c r="C13" s="16">
        <f>IFERROR(产品SKU!C12,"")</f>
        <v/>
      </c>
      <c r="D13" s="16">
        <f>IFERROR(产品SKU!D12,"")</f>
        <v/>
      </c>
      <c r="E13" s="10">
        <f>IFERROR(产品SKU!G12,0)</f>
        <v/>
      </c>
      <c r="F13" s="17">
        <f>IFERROR(产品SKU!I12,0)</f>
        <v/>
      </c>
      <c r="G13" s="17">
        <f>IFERROR(产品SKU!J12,0)</f>
        <v/>
      </c>
      <c r="H13" s="17">
        <f>IFERROR(产品SKU!H12,0)</f>
        <v/>
      </c>
      <c r="I13" s="10">
        <f>IFERROR(成品仓计算!E13*成品仓计算!F13,0)</f>
        <v/>
      </c>
      <c r="J13" s="10">
        <f>IFERROR(成品仓计算!E13*成品仓计算!G13,0)</f>
        <v/>
      </c>
      <c r="K13" s="10">
        <f>IFERROR(MAX(成品仓计算!I13,成品仓计算!J13,成品仓计算!H13),0)</f>
        <v/>
      </c>
      <c r="L13" s="10">
        <f>IFERROR(成品仓计算!E13*产品SKU!K12*参数设置!$C$9,0)</f>
        <v/>
      </c>
      <c r="M13" s="9" t="n"/>
      <c r="N13" s="10">
        <f>IFERROR(成品仓计算!K13+成品仓计算!L13+IF(成品仓计算!M13="",0,成品仓计算!M13),0)</f>
        <v/>
      </c>
      <c r="O13" s="10">
        <f>IFERROR(CEILING(成品仓计算!N13/MAX(产品SKU!M12,1),1)*参数设置!$C$13/MAX(参数设置!$C$14,1)/参数设置!$C$19*参数设置!$C$21,0)</f>
        <v/>
      </c>
    </row>
    <row r="14" ht="20" customHeight="1">
      <c r="A14" s="13" t="n">
        <v>11</v>
      </c>
      <c r="B14" s="16">
        <f>IFERROR(产品SKU!B13,"")</f>
        <v/>
      </c>
      <c r="C14" s="16">
        <f>IFERROR(产品SKU!C13,"")</f>
        <v/>
      </c>
      <c r="D14" s="16">
        <f>IFERROR(产品SKU!D13,"")</f>
        <v/>
      </c>
      <c r="E14" s="10">
        <f>IFERROR(产品SKU!G13,0)</f>
        <v/>
      </c>
      <c r="F14" s="17">
        <f>IFERROR(产品SKU!I13,0)</f>
        <v/>
      </c>
      <c r="G14" s="17">
        <f>IFERROR(产品SKU!J13,0)</f>
        <v/>
      </c>
      <c r="H14" s="17">
        <f>IFERROR(产品SKU!H13,0)</f>
        <v/>
      </c>
      <c r="I14" s="10">
        <f>IFERROR(成品仓计算!E14*成品仓计算!F14,0)</f>
        <v/>
      </c>
      <c r="J14" s="10">
        <f>IFERROR(成品仓计算!E14*成品仓计算!G14,0)</f>
        <v/>
      </c>
      <c r="K14" s="10">
        <f>IFERROR(MAX(成品仓计算!I14,成品仓计算!J14,成品仓计算!H14),0)</f>
        <v/>
      </c>
      <c r="L14" s="10">
        <f>IFERROR(成品仓计算!E14*产品SKU!K13*参数设置!$C$9,0)</f>
        <v/>
      </c>
      <c r="M14" s="9" t="n"/>
      <c r="N14" s="10">
        <f>IFERROR(成品仓计算!K14+成品仓计算!L14+IF(成品仓计算!M14="",0,成品仓计算!M14),0)</f>
        <v/>
      </c>
      <c r="O14" s="10">
        <f>IFERROR(CEILING(成品仓计算!N14/MAX(产品SKU!M13,1),1)*参数设置!$C$13/MAX(参数设置!$C$14,1)/参数设置!$C$19*参数设置!$C$21,0)</f>
        <v/>
      </c>
    </row>
    <row r="15" ht="20" customHeight="1">
      <c r="A15" s="13" t="n">
        <v>12</v>
      </c>
      <c r="B15" s="16">
        <f>IFERROR(产品SKU!B14,"")</f>
        <v/>
      </c>
      <c r="C15" s="16">
        <f>IFERROR(产品SKU!C14,"")</f>
        <v/>
      </c>
      <c r="D15" s="16">
        <f>IFERROR(产品SKU!D14,"")</f>
        <v/>
      </c>
      <c r="E15" s="10">
        <f>IFERROR(产品SKU!G14,0)</f>
        <v/>
      </c>
      <c r="F15" s="17">
        <f>IFERROR(产品SKU!I14,0)</f>
        <v/>
      </c>
      <c r="G15" s="17">
        <f>IFERROR(产品SKU!J14,0)</f>
        <v/>
      </c>
      <c r="H15" s="17">
        <f>IFERROR(产品SKU!H14,0)</f>
        <v/>
      </c>
      <c r="I15" s="10">
        <f>IFERROR(成品仓计算!E15*成品仓计算!F15,0)</f>
        <v/>
      </c>
      <c r="J15" s="10">
        <f>IFERROR(成品仓计算!E15*成品仓计算!G15,0)</f>
        <v/>
      </c>
      <c r="K15" s="10">
        <f>IFERROR(MAX(成品仓计算!I15,成品仓计算!J15,成品仓计算!H15),0)</f>
        <v/>
      </c>
      <c r="L15" s="10">
        <f>IFERROR(成品仓计算!E15*产品SKU!K14*参数设置!$C$9,0)</f>
        <v/>
      </c>
      <c r="M15" s="9" t="n"/>
      <c r="N15" s="10">
        <f>IFERROR(成品仓计算!K15+成品仓计算!L15+IF(成品仓计算!M15="",0,成品仓计算!M15),0)</f>
        <v/>
      </c>
      <c r="O15" s="10">
        <f>IFERROR(CEILING(成品仓计算!N15/MAX(产品SKU!M14,1),1)*参数设置!$C$13/MAX(参数设置!$C$14,1)/参数设置!$C$19*参数设置!$C$21,0)</f>
        <v/>
      </c>
    </row>
    <row r="16" ht="22" customHeight="1">
      <c r="A16" s="18" t="inlineStr">
        <is>
          <t>合计</t>
        </is>
      </c>
      <c r="N16" s="10">
        <f>SUM(N4:N15)</f>
        <v/>
      </c>
      <c r="O16" s="10">
        <f>SUM(O4:O15)</f>
        <v/>
      </c>
    </row>
  </sheetData>
  <mergeCells count="3">
    <mergeCell ref="A1:O1"/>
    <mergeCell ref="A16:D16"/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0000"/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8" customWidth="1" min="3" max="3"/>
    <col width="12" customWidth="1" min="4" max="4"/>
    <col width="14" customWidth="1" min="5" max="5"/>
    <col width="14" customWidth="1" min="6" max="6"/>
    <col width="16" customWidth="1" min="7" max="7"/>
    <col width="28" customWidth="1" min="8" max="8"/>
  </cols>
  <sheetData>
    <row r="1" ht="34" customHeight="1">
      <c r="A1" s="5" t="inlineStr">
        <is>
          <t>汇总 — 各仓库设计库存量与估算面积</t>
        </is>
      </c>
    </row>
    <row r="2" ht="42" customHeight="1">
      <c r="A2" s="6" t="inlineStr">
        <is>
          <t>仓库类别</t>
        </is>
      </c>
      <c r="B2" s="6" t="inlineStr">
        <is>
          <t>计算依据</t>
        </is>
      </c>
      <c r="C2" s="6" t="inlineStr">
        <is>
          <t>设计库存量
(合计)</t>
        </is>
      </c>
      <c r="D2" s="6" t="inlineStr">
        <is>
          <t>库存单位</t>
        </is>
      </c>
      <c r="E2" s="6" t="inlineStr">
        <is>
          <t>设计托盘数
(合计)</t>
        </is>
      </c>
      <c r="F2" s="6" t="inlineStr">
        <is>
          <t>估算占地
面积(m²)</t>
        </is>
      </c>
      <c r="G2" s="6" t="inlineStr">
        <is>
          <t>含扩展余量
面积(m²)
[自动]</t>
        </is>
      </c>
      <c r="H2" s="6" t="inlineStr">
        <is>
          <t>备注</t>
        </is>
      </c>
    </row>
    <row r="3" ht="24" customHeight="1">
      <c r="A3" s="20" t="inlineStr">
        <is>
          <t>原料仓</t>
        </is>
      </c>
      <c r="B3" s="8" t="inlineStr">
        <is>
          <t>MAX(日消耗×采购提前期, MOQ)×安全系数 + 安全库存 + 下批备料 + 退料 + 待检</t>
        </is>
      </c>
      <c r="C3" s="10">
        <f>原料仓计算!M19</f>
        <v/>
      </c>
      <c r="D3" s="8" t="inlineStr">
        <is>
          <t>（各原料单位不同）</t>
        </is>
      </c>
      <c r="E3" s="17">
        <f>原料仓计算!O19</f>
        <v/>
      </c>
      <c r="F3" s="10">
        <f>原料仓计算!P19</f>
        <v/>
      </c>
      <c r="G3" s="10">
        <f>IFERROR(汇总!F3*参数设置!$C$21,0)</f>
        <v/>
      </c>
      <c r="H3" s="8" t="inlineStr"/>
    </row>
    <row r="4" ht="24" customHeight="1">
      <c r="A4" s="21" t="inlineStr">
        <is>
          <t>过程品仓
（工序1后）</t>
        </is>
      </c>
      <c r="B4" s="8" t="inlineStr">
        <is>
          <t>MAX(下游小时消耗×缓冲小时数, 批量×等待批次) + 待检 + 尾批 + 不良品</t>
        </is>
      </c>
      <c r="C4" s="10">
        <f>过程品仓计算!P17</f>
        <v/>
      </c>
      <c r="D4" s="8" t="inlineStr">
        <is>
          <t>件</t>
        </is>
      </c>
      <c r="E4" s="9" t="n"/>
      <c r="F4" s="10">
        <f>过程品仓计算!Q17</f>
        <v/>
      </c>
      <c r="G4" s="10">
        <f>IFERROR(汇总!F4*参数设置!$C$21,0)</f>
        <v/>
      </c>
      <c r="H4" s="8" t="inlineStr"/>
    </row>
    <row r="5" ht="24" customHeight="1">
      <c r="A5" s="20" t="inlineStr">
        <is>
          <t>过程品仓
（工序2后）</t>
        </is>
      </c>
      <c r="B5" s="8" t="inlineStr">
        <is>
          <t>MAX(下游小时消耗×缓冲小时数, 批量×等待批次) + 待检 + 尾批 + 不良品</t>
        </is>
      </c>
      <c r="C5" s="10">
        <f>过程品仓计算!P31</f>
        <v/>
      </c>
      <c r="D5" s="8" t="inlineStr">
        <is>
          <t>件</t>
        </is>
      </c>
      <c r="E5" s="9" t="n"/>
      <c r="F5" s="10">
        <f>过程品仓计算!Q31</f>
        <v/>
      </c>
      <c r="G5" s="10">
        <f>IFERROR(汇总!F5*参数设置!$C$21,0)</f>
        <v/>
      </c>
      <c r="H5" s="8" t="inlineStr"/>
    </row>
    <row r="6" ht="24" customHeight="1">
      <c r="A6" s="21" t="inlineStr">
        <is>
          <t>过程品仓
（工序3后）</t>
        </is>
      </c>
      <c r="B6" s="8" t="inlineStr">
        <is>
          <t>MAX(下游小时消耗×缓冲小时数, 批量×等待批次) + 待检 + 尾批 + 不良品</t>
        </is>
      </c>
      <c r="C6" s="10">
        <f>过程品仓计算!P45</f>
        <v/>
      </c>
      <c r="D6" s="8" t="inlineStr">
        <is>
          <t>件</t>
        </is>
      </c>
      <c r="E6" s="9" t="n"/>
      <c r="F6" s="10">
        <f>过程品仓计算!Q45</f>
        <v/>
      </c>
      <c r="G6" s="10">
        <f>IFERROR(汇总!F6*参数设置!$C$21,0)</f>
        <v/>
      </c>
      <c r="H6" s="8" t="inlineStr"/>
    </row>
    <row r="7" ht="24" customHeight="1">
      <c r="A7" s="22" t="inlineStr">
        <is>
          <t>过程品仓 合计</t>
        </is>
      </c>
      <c r="B7" s="8" t="inlineStr">
        <is>
          <t>见过程品仓计算!P46</t>
        </is>
      </c>
      <c r="C7" s="10">
        <f>过程品仓计算!P46</f>
        <v/>
      </c>
      <c r="D7" s="8" t="inlineStr">
        <is>
          <t>件</t>
        </is>
      </c>
      <c r="E7" s="9" t="n"/>
      <c r="F7" s="10">
        <f>过程品仓计算!Q46</f>
        <v/>
      </c>
      <c r="G7" s="10">
        <f>IFERROR(汇总!F7*参数设置!$C$21,0)</f>
        <v/>
      </c>
      <c r="H7" s="8" t="inlineStr"/>
    </row>
    <row r="8" ht="24" customHeight="1">
      <c r="A8" s="21" t="inlineStr">
        <is>
          <t>成品仓</t>
        </is>
      </c>
      <c r="B8" s="8" t="inlineStr">
        <is>
          <t>MAX(日需求×生产间隔, 日需求×目标天数, 最小批量) + 安全库存 + 待检放行</t>
        </is>
      </c>
      <c r="C8" s="10">
        <f>成品仓计算!N16</f>
        <v/>
      </c>
      <c r="D8" s="8" t="inlineStr">
        <is>
          <t>件</t>
        </is>
      </c>
      <c r="E8" s="9" t="n"/>
      <c r="F8" s="10">
        <f>成品仓计算!O16</f>
        <v/>
      </c>
      <c r="G8" s="10">
        <f>IFERROR(汇总!F8*参数设置!$C$21,0)</f>
        <v/>
      </c>
      <c r="H8" s="8" t="inlineStr"/>
    </row>
    <row r="9" ht="26" customHeight="1">
      <c r="A9" s="23" t="inlineStr">
        <is>
          <t>三类仓库合计（不含辅助区域）</t>
        </is>
      </c>
      <c r="G9" s="10">
        <f>IFERROR(汇总!G3+汇总!G7+汇总!G8,0)</f>
        <v/>
      </c>
    </row>
    <row r="11" ht="36" customHeight="1">
      <c r="A11" s="24" t="inlineStr">
        <is>
          <t>⚠ 上述面积为存储区估算，实际仓库还需加上：收发货区、质检区、不良品隔离区、退换货区、包装区、通道等辅助区域，通常再增加30%~50%的辅助面积。</t>
        </is>
      </c>
    </row>
    <row r="13">
      <c r="A13" s="25" t="inlineStr">
        <is>
          <t>★ 面积估算关键参数(可在[参数设置]工作表中修改)：</t>
        </is>
      </c>
    </row>
    <row r="14" ht="18" customHeight="1">
      <c r="A14" s="8" t="inlineStr">
        <is>
          <t>单托盘占地面积</t>
        </is>
      </c>
      <c r="B14" s="16">
        <f>参数设置!C13&amp;" m²"</f>
        <v/>
      </c>
    </row>
    <row r="15" ht="18" customHeight="1">
      <c r="A15" s="8" t="inlineStr">
        <is>
          <t>地堆层数</t>
        </is>
      </c>
      <c r="B15" s="16">
        <f>参数设置!C14&amp;" 层"</f>
        <v/>
      </c>
    </row>
    <row r="16" ht="18" customHeight="1">
      <c r="A16" s="8" t="inlineStr">
        <is>
          <t>原料仓面积利用率</t>
        </is>
      </c>
      <c r="B16" s="16">
        <f>TEXT(参数设置!C17,"0.0%")</f>
        <v/>
      </c>
    </row>
    <row r="17" ht="18" customHeight="1">
      <c r="A17" s="8" t="inlineStr">
        <is>
          <t>过程品仓面积利用率</t>
        </is>
      </c>
      <c r="B17" s="16">
        <f>TEXT(参数设置!C18,"0.0%")</f>
        <v/>
      </c>
    </row>
    <row r="18" ht="18" customHeight="1">
      <c r="A18" s="8" t="inlineStr">
        <is>
          <t>成品仓面积利用率</t>
        </is>
      </c>
      <c r="B18" s="16">
        <f>TEXT(参数设置!C19,"0.0%")</f>
        <v/>
      </c>
    </row>
    <row r="19" ht="18" customHeight="1">
      <c r="A19" s="8" t="inlineStr">
        <is>
          <t>扩展余量系数</t>
        </is>
      </c>
      <c r="B19" s="16">
        <f>参数设置!C21</f>
        <v/>
      </c>
    </row>
  </sheetData>
  <mergeCells count="4">
    <mergeCell ref="A9:B9"/>
    <mergeCell ref="A13:H13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2026-07-17T15:25:03Z</dcterms:created>
  <dcterms:modified xsi:type="dcterms:W3CDTF">2026-07-17T15:25:04Z</dcterms:modified>
</cp:coreProperties>
</file>