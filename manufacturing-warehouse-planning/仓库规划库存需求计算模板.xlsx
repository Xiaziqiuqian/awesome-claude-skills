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MAX(日消耗×有效采购提前期, MOQ, MPQ)×安全系数 + 安全库存 + 下批备料库存 + 退料库存 + 待检库存 - 旧料可消耗量。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修正后基础WIP + 待检库存 + 尾批库存 + 不良/返工库存；其中修正后基础WIP考虑设备故障率与工序良率损失。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返工补偿库存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当前模板未启用黄色专用输入样式，关键假设请优先检查参数设置中“需求与供应波动修正”分组。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MAX(日均消耗×有效采购提前期天数, MOQ, MPQ)×安全系数 + 安全库存 + 下一批次备料 + 换产退料 + 待检库存 - 旧料可消耗量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÷(1-故障率)×(1+良率损失率)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返工补偿库存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表中请填写单位成品实际原料消耗量（已包含粗破→烘干→磨粉→低温碳化→石墨化→高温碳化→成品筛分全流程良率损耗影响）。</t>
        </is>
      </c>
    </row>
    <row r="28" ht="18" customHeight="1">
      <c r="B28" s="3" t="inlineStr">
        <is>
          <t>需求修正系数叠加</t>
        </is>
      </c>
      <c r="C28" s="4" t="inlineStr">
        <is>
          <t>Q3/Q4峰值、订单变更冗余、新品爬坡系数会乘法叠加，请结合历史波动谨慎设值，避免过度放大。</t>
        </is>
      </c>
    </row>
    <row r="29" ht="18" customHeight="1">
      <c r="B29" s="3" t="inlineStr">
        <is>
          <t>动态安全库存</t>
        </is>
      </c>
      <c r="C29" s="4" t="inlineStr">
        <is>
          <t>当前模板暂按固定安全库存计算（未启用动态算法）；后续有数据后可在参数设置中启用。</t>
        </is>
      </c>
    </row>
    <row r="30" ht="18" customHeight="1">
      <c r="B30" s="3" t="inlineStr">
        <is>
          <t>分层管理</t>
        </is>
      </c>
      <c r="C30" s="4" t="inlineStr">
        <is>
          <t>当前模板未启用ABC/XYZ分层管理，建议后续有分层规则后再接入差异化安全库存。</t>
        </is>
      </c>
    </row>
    <row r="31" ht="18" customHeight="1">
      <c r="B31" s="3" t="inlineStr">
        <is>
          <t>安全系数</t>
        </is>
      </c>
      <c r="C31" s="4" t="inlineStr">
        <is>
          <t>参数设置中的安全系数会乘以基础库存量，建议原料仓1.1~1.3，过程品仓1.1~1.2，成品仓1.1~1.2。</t>
        </is>
      </c>
    </row>
    <row r="32" ht="18" customHeight="1">
      <c r="B32" s="3" t="inlineStr">
        <is>
          <t>数量单位</t>
        </is>
      </c>
      <c r="C32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2" ht="20" customHeight="1">
      <c r="B22" s="7" t="inlineStr">
        <is>
          <t>【需求与供应波动修正】</t>
        </is>
      </c>
    </row>
    <row r="23" ht="20" customHeight="1">
      <c r="B23" s="8" t="inlineStr">
        <is>
          <t>Q3/Q4需求峰值系数</t>
        </is>
      </c>
      <c r="C23" s="11" t="n">
        <v>1.2</v>
      </c>
      <c r="D23" s="8" t="inlineStr">
        <is>
          <t>—</t>
        </is>
      </c>
      <c r="E23" s="8" t="inlineStr">
        <is>
          <t>旺季需求放大系数，建议1.10~1.30（如仅部分SKU受影响，请在SKU层按需调整）</t>
        </is>
      </c>
    </row>
    <row r="24" ht="20" customHeight="1">
      <c r="B24" s="8" t="inlineStr">
        <is>
          <t>订单变更/取消冗余系数</t>
        </is>
      </c>
      <c r="C24" s="11" t="n">
        <v>1.03</v>
      </c>
      <c r="D24" s="8" t="inlineStr">
        <is>
          <t>—</t>
        </is>
      </c>
      <c r="E24" s="8" t="inlineStr">
        <is>
          <t>可参考历史呆滞库存占比估算，建议1.00~1.10</t>
        </is>
      </c>
    </row>
    <row r="25" ht="20" customHeight="1">
      <c r="B25" s="8" t="inlineStr">
        <is>
          <t>原料交期波动系数</t>
        </is>
      </c>
      <c r="C25" s="11" t="n">
        <v>1.1</v>
      </c>
      <c r="D25" s="8" t="inlineStr">
        <is>
          <t>—</t>
        </is>
      </c>
      <c r="E25" s="8" t="inlineStr">
        <is>
          <t>用于放大基础采购提前期，覆盖供应商波动</t>
        </is>
      </c>
    </row>
    <row r="26" ht="20" customHeight="1">
      <c r="B26" s="8" t="inlineStr">
        <is>
          <t>春节停运附加天数</t>
        </is>
      </c>
      <c r="C26" s="9" t="n">
        <v>18</v>
      </c>
      <c r="D26" s="8" t="inlineStr">
        <is>
          <t>天</t>
        </is>
      </c>
      <c r="E26" s="8" t="inlineStr">
        <is>
          <t>节假日停运可按15~21天预估</t>
        </is>
      </c>
    </row>
    <row r="27" ht="20" customHeight="1">
      <c r="B27" s="8" t="inlineStr">
        <is>
          <t>瓶颈设备故障率</t>
        </is>
      </c>
      <c r="C27" s="11" t="n">
        <v>0.08</v>
      </c>
      <c r="D27" s="8" t="inlineStr">
        <is>
          <t>—</t>
        </is>
      </c>
      <c r="E27" s="8" t="inlineStr">
        <is>
          <t>按瓶颈工序设备故障率估算产能波动</t>
        </is>
      </c>
    </row>
    <row r="28" ht="20" customHeight="1">
      <c r="B28" s="8" t="inlineStr">
        <is>
          <t>石墨化良率损失率</t>
        </is>
      </c>
      <c r="C28" s="11" t="n">
        <v>0.08</v>
      </c>
      <c r="D28" s="8" t="inlineStr">
        <is>
          <t>—</t>
        </is>
      </c>
      <c r="E28" s="8" t="inlineStr">
        <is>
          <t>石墨化工序低良率补偿参数，建议5%~15%</t>
        </is>
      </c>
    </row>
    <row r="29" ht="20" customHeight="1">
      <c r="B29" s="8" t="inlineStr">
        <is>
          <t>成品返工率</t>
        </is>
      </c>
      <c r="C29" s="11" t="n">
        <v>0.08</v>
      </c>
      <c r="D29" s="8" t="inlineStr">
        <is>
          <t>—</t>
        </is>
      </c>
      <c r="E29" s="8" t="inlineStr">
        <is>
          <t>成品工序返工比例参数，建议5%~10%</t>
        </is>
      </c>
    </row>
    <row r="30" ht="20" customHeight="1">
      <c r="B30" s="8" t="inlineStr">
        <is>
          <t>新品爬坡系数</t>
        </is>
      </c>
      <c r="C30" s="11" t="n">
        <v>1.05</v>
      </c>
      <c r="D30" s="8" t="inlineStr">
        <is>
          <t>—</t>
        </is>
      </c>
      <c r="E30" s="8" t="inlineStr">
        <is>
          <t>新品爬坡阶段需求修正系数</t>
        </is>
      </c>
    </row>
    <row r="31" ht="20" customHeight="1">
      <c r="B31" s="8" t="inlineStr">
        <is>
          <t>动态安全库存启用标记</t>
        </is>
      </c>
      <c r="C31" s="9" t="n">
        <v>0</v>
      </c>
      <c r="D31" s="8" t="inlineStr">
        <is>
          <t>0/1</t>
        </is>
      </c>
      <c r="E31" s="8" t="inlineStr">
        <is>
          <t>当前默认0=未启用，后续有数据后可切换</t>
        </is>
      </c>
    </row>
    <row r="32" ht="20" customHeight="1">
      <c r="B32" s="8" t="inlineStr">
        <is>
          <t>ABC分层管理启用标记</t>
        </is>
      </c>
      <c r="C32" s="9" t="n">
        <v>0</v>
      </c>
      <c r="D32" s="8" t="inlineStr">
        <is>
          <t>0/1</t>
        </is>
      </c>
      <c r="E32" s="8" t="inlineStr">
        <is>
          <t>当前默认0=未启用，后续分层管理后可切换</t>
        </is>
      </c>
    </row>
    <row r="34">
      <c r="B34" s="12" t="inlineStr">
        <is>
          <t>★ 其他工作表通过[参数设置!C行号]引用本表数值，请勿删除或移动行。</t>
        </is>
      </c>
    </row>
  </sheetData>
  <mergeCells count="6">
    <mergeCell ref="B16:E16"/>
    <mergeCell ref="A1:E1"/>
    <mergeCell ref="B3:E3"/>
    <mergeCell ref="B20:E20"/>
    <mergeCell ref="B10:E10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(粗破后)</t>
        </is>
      </c>
      <c r="P2" s="6" t="inlineStr">
        <is>
          <t>过程品缓冲
小时数
(烘干后)</t>
        </is>
      </c>
      <c r="Q2" s="6" t="inlineStr">
        <is>
          <t>过程品缓冲
小时数
(磨粉后)</t>
        </is>
      </c>
      <c r="R2" s="6" t="inlineStr">
        <is>
          <t>过程品缓冲
小时数
(低温碳化后)</t>
        </is>
      </c>
      <c r="S2" s="6" t="inlineStr">
        <is>
          <t>过程品缓冲
小时数
(石墨化后)</t>
        </is>
      </c>
      <c r="T2" s="6" t="inlineStr">
        <is>
          <t>过程品缓冲
小时数
(高温碳化后)</t>
        </is>
      </c>
      <c r="U2" s="6" t="inlineStr">
        <is>
          <t>过程品缓冲
小时数
(成品筛分后)</t>
        </is>
      </c>
      <c r="V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IFERROR((产品SKU!E3/12)*参数设置!$C$24*参数设置!$C$25*参数设置!$C$31,"")</f>
        <v/>
      </c>
      <c r="G3" s="10">
        <f>IFERROR((产品SKU!E3/参数设置!$C$4)*参数设置!$C$24*参数设置!$C$25*参数设置!$C$31,"")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2</v>
      </c>
      <c r="P3" s="11" t="n">
        <v>3</v>
      </c>
      <c r="Q3" s="11" t="n">
        <v>4</v>
      </c>
      <c r="R3" s="11" t="n">
        <v>5</v>
      </c>
      <c r="S3" s="11" t="n">
        <v>6</v>
      </c>
      <c r="T3" s="11" t="n">
        <v>7</v>
      </c>
      <c r="U3" s="11" t="n">
        <v>8</v>
      </c>
      <c r="V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IFERROR((产品SKU!E4/12)*参数设置!$C$24*参数设置!$C$25*参数设置!$C$31,"")</f>
        <v/>
      </c>
      <c r="G4" s="10">
        <f>IFERROR((产品SKU!E4/参数设置!$C$4)*参数设置!$C$24*参数设置!$C$25*参数设置!$C$31,"")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2</v>
      </c>
      <c r="P4" s="11" t="n">
        <v>3</v>
      </c>
      <c r="Q4" s="11" t="n">
        <v>4</v>
      </c>
      <c r="R4" s="11" t="n">
        <v>4</v>
      </c>
      <c r="S4" s="11" t="n">
        <v>5</v>
      </c>
      <c r="T4" s="11" t="n">
        <v>6</v>
      </c>
      <c r="U4" s="11" t="n">
        <v>7</v>
      </c>
      <c r="V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IFERROR((产品SKU!E5/12)*参数设置!$C$24*参数设置!$C$25*参数设置!$C$31,"")</f>
        <v/>
      </c>
      <c r="G5" s="10">
        <f>IFERROR((产品SKU!E5/参数设置!$C$4)*参数设置!$C$24*参数设置!$C$25*参数设置!$C$31,"")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4</v>
      </c>
      <c r="Q5" s="11" t="n">
        <v>5</v>
      </c>
      <c r="R5" s="11" t="n">
        <v>5</v>
      </c>
      <c r="S5" s="11" t="n">
        <v>6</v>
      </c>
      <c r="T5" s="11" t="n">
        <v>7</v>
      </c>
      <c r="U5" s="11" t="n">
        <v>8</v>
      </c>
      <c r="V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IFERROR((产品SKU!E6/12)*参数设置!$C$24*参数设置!$C$25*参数设置!$C$31,"")</f>
        <v/>
      </c>
      <c r="G6" s="10">
        <f>IFERROR((产品SKU!E6/参数设置!$C$4)*参数设置!$C$24*参数设置!$C$25*参数设置!$C$31,"")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2</v>
      </c>
      <c r="P6" s="11" t="n">
        <v>2</v>
      </c>
      <c r="Q6" s="11" t="n">
        <v>3</v>
      </c>
      <c r="R6" s="11" t="n">
        <v>4</v>
      </c>
      <c r="S6" s="11" t="n">
        <v>5</v>
      </c>
      <c r="T6" s="11" t="n">
        <v>6</v>
      </c>
      <c r="U6" s="11" t="n">
        <v>7</v>
      </c>
      <c r="V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IFERROR((产品SKU!E7/12)*参数设置!$C$24*参数设置!$C$25*参数设置!$C$31,"")</f>
        <v/>
      </c>
      <c r="G7" s="10">
        <f>IFERROR((产品SKU!E7/参数设置!$C$4)*参数设置!$C$24*参数设置!$C$25*参数设置!$C$31,"")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3</v>
      </c>
      <c r="P7" s="11" t="n">
        <v>4</v>
      </c>
      <c r="Q7" s="11" t="n">
        <v>5</v>
      </c>
      <c r="R7" s="11" t="n">
        <v>6</v>
      </c>
      <c r="S7" s="11" t="n">
        <v>7</v>
      </c>
      <c r="T7" s="11" t="n">
        <v>8</v>
      </c>
      <c r="U7" s="11" t="n">
        <v>9</v>
      </c>
      <c r="V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IFERROR((产品SKU!E8/12)*参数设置!$C$24*参数设置!$C$25*参数设置!$C$31,"")</f>
        <v/>
      </c>
      <c r="G8" s="10">
        <f>IFERROR((产品SKU!E8/参数设置!$C$4)*参数设置!$C$24*参数设置!$C$25*参数设置!$C$31,"")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2</v>
      </c>
      <c r="P8" s="11" t="n">
        <v>3</v>
      </c>
      <c r="Q8" s="11" t="n">
        <v>3</v>
      </c>
      <c r="R8" s="11" t="n">
        <v>4</v>
      </c>
      <c r="S8" s="11" t="n">
        <v>5</v>
      </c>
      <c r="T8" s="11" t="n">
        <v>6</v>
      </c>
      <c r="U8" s="11" t="n">
        <v>7</v>
      </c>
      <c r="V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IFERROR((产品SKU!E9/12)*参数设置!$C$24*参数设置!$C$25*参数设置!$C$31,"")</f>
        <v/>
      </c>
      <c r="G9" s="10">
        <f>IFERROR((产品SKU!E9/参数设置!$C$4)*参数设置!$C$24*参数设置!$C$25*参数设置!$C$31,"")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4</v>
      </c>
      <c r="P9" s="11" t="n">
        <v>5</v>
      </c>
      <c r="Q9" s="11" t="n">
        <v>6</v>
      </c>
      <c r="R9" s="11" t="n">
        <v>7</v>
      </c>
      <c r="S9" s="11" t="n">
        <v>8</v>
      </c>
      <c r="T9" s="11" t="n">
        <v>9</v>
      </c>
      <c r="U9" s="11" t="n">
        <v>10</v>
      </c>
      <c r="V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IFERROR((产品SKU!E10/12)*参数设置!$C$24*参数设置!$C$25*参数设置!$C$31,"")</f>
        <v/>
      </c>
      <c r="G10" s="10">
        <f>IFERROR((产品SKU!E10/参数设置!$C$4)*参数设置!$C$24*参数设置!$C$25*参数设置!$C$31,"")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4</v>
      </c>
      <c r="Q10" s="11" t="n">
        <v>5</v>
      </c>
      <c r="R10" s="11" t="n">
        <v>6</v>
      </c>
      <c r="S10" s="11" t="n">
        <v>6</v>
      </c>
      <c r="T10" s="11" t="n">
        <v>7</v>
      </c>
      <c r="U10" s="11" t="n">
        <v>8</v>
      </c>
      <c r="V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IFERROR((产品SKU!E11/12)*参数设置!$C$24*参数设置!$C$25*参数设置!$C$31,"")</f>
        <v/>
      </c>
      <c r="G11" s="10">
        <f>IFERROR((产品SKU!E11/参数设置!$C$4)*参数设置!$C$24*参数设置!$C$25*参数设置!$C$31,"")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IFERROR((产品SKU!E12/12)*参数设置!$C$24*参数设置!$C$25*参数设置!$C$31,"")</f>
        <v/>
      </c>
      <c r="G12" s="10">
        <f>IFERROR((产品SKU!E12/参数设置!$C$4)*参数设置!$C$24*参数设置!$C$25*参数设置!$C$31,"")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IFERROR((产品SKU!E13/12)*参数设置!$C$24*参数设置!$C$25*参数设置!$C$31,"")</f>
        <v/>
      </c>
      <c r="G13" s="10">
        <f>IFERROR((产品SKU!E13/参数设置!$C$4)*参数设置!$C$24*参数设置!$C$25*参数设置!$C$31,"")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IFERROR((产品SKU!E14/12)*参数设置!$C$24*参数设置!$C$25*参数设置!$C$31,"")</f>
        <v/>
      </c>
      <c r="G14" s="10">
        <f>IFERROR((产品SKU!E14/参数设置!$C$4)*参数设置!$C$24*参数设置!$C$25*参数设置!$C$31,"")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</sheetData>
  <mergeCells count="1">
    <mergeCell ref="A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4" customWidth="1" min="9" max="9"/>
    <col width="12" customWidth="1" min="10" max="10"/>
    <col width="12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0" customWidth="1" min="19" max="19"/>
    <col width="12" customWidth="1" min="20" max="20"/>
    <col width="14" customWidth="1" min="21" max="21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MAX(日均消耗×有效采购提前期, MOQ, MPQ) × 安全系数 + 安全库存 + 下批备料库存 + 换产退料库存 + 待检库存 - 呆滞旧料可消耗量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基础采购
提前期(天)</t>
        </is>
      </c>
      <c r="G3" s="6" t="inlineStr">
        <is>
          <t>春节停运
附加天数</t>
        </is>
      </c>
      <c r="H3" s="6" t="inlineStr">
        <is>
          <t>交期波动
系数</t>
        </is>
      </c>
      <c r="I3" s="6" t="inlineStr">
        <is>
          <t>有效采购
提前期(天)
[自动]</t>
        </is>
      </c>
      <c r="J3" s="6" t="inlineStr">
        <is>
          <t>最小订购量
MOQ</t>
        </is>
      </c>
      <c r="K3" s="6" t="inlineStr">
        <is>
          <t>最小到货批量
MPQ</t>
        </is>
      </c>
      <c r="L3" s="6" t="inlineStr">
        <is>
          <t>安全系数</t>
        </is>
      </c>
      <c r="M3" s="6" t="inlineStr">
        <is>
          <t>安全库存量
(件)</t>
        </is>
      </c>
      <c r="N3" s="6" t="inlineStr">
        <is>
          <t>下批备料
库存量</t>
        </is>
      </c>
      <c r="O3" s="6" t="inlineStr">
        <is>
          <t>换产退料
库存量</t>
        </is>
      </c>
      <c r="P3" s="6" t="inlineStr">
        <is>
          <t>待检库存量</t>
        </is>
      </c>
      <c r="Q3" s="6" t="inlineStr">
        <is>
          <t>呆滞旧料
可消耗量</t>
        </is>
      </c>
      <c r="R3" s="6" t="inlineStr">
        <is>
          <t>设计库存量
[自动]</t>
        </is>
      </c>
      <c r="S3" s="6" t="inlineStr">
        <is>
          <t>每托盘装量</t>
        </is>
      </c>
      <c r="T3" s="6" t="inlineStr">
        <is>
          <t>设计托盘数
[自动]</t>
        </is>
      </c>
      <c r="U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17">
        <f>参数设置!$C$27</f>
        <v/>
      </c>
      <c r="H4" s="10">
        <f>参数设置!$C$26</f>
        <v/>
      </c>
      <c r="I4" s="10">
        <f>IFERROR((原料仓计算!F4*原料仓计算!H4)+原料仓计算!G4,0)</f>
        <v/>
      </c>
      <c r="J4" s="9" t="n"/>
      <c r="K4" s="9" t="n"/>
      <c r="L4" s="10">
        <f>参数设置!$C$7</f>
        <v/>
      </c>
      <c r="M4" s="9" t="n"/>
      <c r="N4" s="9" t="n"/>
      <c r="O4" s="9" t="n"/>
      <c r="P4" s="9" t="n"/>
      <c r="Q4" s="9" t="n"/>
      <c r="R4" s="10">
        <f>IFERROR(MAX(0,MAX(原料仓计算!E4*原料仓计算!I4,IF(原料仓计算!J4="",0,原料仓计算!J4),IF(原料仓计算!K4="",0,原料仓计算!K4))*原料仓计算!L4+IF(原料仓计算!M4="",0,原料仓计算!M4)+IF(原料仓计算!N4="",0,原料仓计算!N4)+IF(原料仓计算!O4="",0,原料仓计算!O4)+IF(原料仓计算!P4="",0,原料仓计算!P4)-IF(原料仓计算!Q4="",0,原料仓计算!Q4)),0)</f>
        <v/>
      </c>
      <c r="S4" s="9" t="n"/>
      <c r="T4" s="17">
        <f>IFERROR(CEILING(原料仓计算!R4/IF(原料仓计算!S4=0,1,原料仓计算!S4),1),0)</f>
        <v/>
      </c>
      <c r="U4" s="10">
        <f>IFERROR(原料仓计算!T4*参数设置!$C$13/MAX(参数设置!$C$14,1)/参数设置!$C$17*参数设置!$C$21,0)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17">
        <f>参数设置!$C$27</f>
        <v/>
      </c>
      <c r="H5" s="10">
        <f>参数设置!$C$26</f>
        <v/>
      </c>
      <c r="I5" s="10">
        <f>IFERROR((原料仓计算!F5*原料仓计算!H5)+原料仓计算!G5,0)</f>
        <v/>
      </c>
      <c r="J5" s="9" t="n"/>
      <c r="K5" s="9" t="n"/>
      <c r="L5" s="10">
        <f>参数设置!$C$7</f>
        <v/>
      </c>
      <c r="M5" s="9" t="n"/>
      <c r="N5" s="9" t="n"/>
      <c r="O5" s="9" t="n"/>
      <c r="P5" s="9" t="n"/>
      <c r="Q5" s="9" t="n"/>
      <c r="R5" s="10">
        <f>IFERROR(MAX(0,MAX(原料仓计算!E5*原料仓计算!I5,IF(原料仓计算!J5="",0,原料仓计算!J5),IF(原料仓计算!K5="",0,原料仓计算!K5))*原料仓计算!L5+IF(原料仓计算!M5="",0,原料仓计算!M5)+IF(原料仓计算!N5="",0,原料仓计算!N5)+IF(原料仓计算!O5="",0,原料仓计算!O5)+IF(原料仓计算!P5="",0,原料仓计算!P5)-IF(原料仓计算!Q5="",0,原料仓计算!Q5)),0)</f>
        <v/>
      </c>
      <c r="S5" s="9" t="n"/>
      <c r="T5" s="17">
        <f>IFERROR(CEILING(原料仓计算!R5/IF(原料仓计算!S5=0,1,原料仓计算!S5),1),0)</f>
        <v/>
      </c>
      <c r="U5" s="10">
        <f>IFERROR(原料仓计算!T5*参数设置!$C$13/MAX(参数设置!$C$14,1)/参数设置!$C$17*参数设置!$C$21,0)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17">
        <f>参数设置!$C$27</f>
        <v/>
      </c>
      <c r="H6" s="10">
        <f>参数设置!$C$26</f>
        <v/>
      </c>
      <c r="I6" s="10">
        <f>IFERROR((原料仓计算!F6*原料仓计算!H6)+原料仓计算!G6,0)</f>
        <v/>
      </c>
      <c r="J6" s="9" t="n"/>
      <c r="K6" s="9" t="n"/>
      <c r="L6" s="10">
        <f>参数设置!$C$7</f>
        <v/>
      </c>
      <c r="M6" s="9" t="n"/>
      <c r="N6" s="9" t="n"/>
      <c r="O6" s="9" t="n"/>
      <c r="P6" s="9" t="n"/>
      <c r="Q6" s="9" t="n"/>
      <c r="R6" s="10">
        <f>IFERROR(MAX(0,MAX(原料仓计算!E6*原料仓计算!I6,IF(原料仓计算!J6="",0,原料仓计算!J6),IF(原料仓计算!K6="",0,原料仓计算!K6))*原料仓计算!L6+IF(原料仓计算!M6="",0,原料仓计算!M6)+IF(原料仓计算!N6="",0,原料仓计算!N6)+IF(原料仓计算!O6="",0,原料仓计算!O6)+IF(原料仓计算!P6="",0,原料仓计算!P6)-IF(原料仓计算!Q6="",0,原料仓计算!Q6)),0)</f>
        <v/>
      </c>
      <c r="S6" s="9" t="n"/>
      <c r="T6" s="17">
        <f>IFERROR(CEILING(原料仓计算!R6/IF(原料仓计算!S6=0,1,原料仓计算!S6),1),0)</f>
        <v/>
      </c>
      <c r="U6" s="10">
        <f>IFERROR(原料仓计算!T6*参数设置!$C$13/MAX(参数设置!$C$14,1)/参数设置!$C$17*参数设置!$C$21,0)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17">
        <f>参数设置!$C$27</f>
        <v/>
      </c>
      <c r="H7" s="10">
        <f>参数设置!$C$26</f>
        <v/>
      </c>
      <c r="I7" s="10">
        <f>IFERROR((原料仓计算!F7*原料仓计算!H7)+原料仓计算!G7,0)</f>
        <v/>
      </c>
      <c r="J7" s="9" t="n"/>
      <c r="K7" s="9" t="n"/>
      <c r="L7" s="10">
        <f>参数设置!$C$7</f>
        <v/>
      </c>
      <c r="M7" s="9" t="n"/>
      <c r="N7" s="9" t="n"/>
      <c r="O7" s="9" t="n"/>
      <c r="P7" s="9" t="n"/>
      <c r="Q7" s="9" t="n"/>
      <c r="R7" s="10">
        <f>IFERROR(MAX(0,MAX(原料仓计算!E7*原料仓计算!I7,IF(原料仓计算!J7="",0,原料仓计算!J7),IF(原料仓计算!K7="",0,原料仓计算!K7))*原料仓计算!L7+IF(原料仓计算!M7="",0,原料仓计算!M7)+IF(原料仓计算!N7="",0,原料仓计算!N7)+IF(原料仓计算!O7="",0,原料仓计算!O7)+IF(原料仓计算!P7="",0,原料仓计算!P7)-IF(原料仓计算!Q7="",0,原料仓计算!Q7)),0)</f>
        <v/>
      </c>
      <c r="S7" s="9" t="n"/>
      <c r="T7" s="17">
        <f>IFERROR(CEILING(原料仓计算!R7/IF(原料仓计算!S7=0,1,原料仓计算!S7),1),0)</f>
        <v/>
      </c>
      <c r="U7" s="10">
        <f>IFERROR(原料仓计算!T7*参数设置!$C$13/MAX(参数设置!$C$14,1)/参数设置!$C$17*参数设置!$C$21,0)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17">
        <f>参数设置!$C$27</f>
        <v/>
      </c>
      <c r="H8" s="10">
        <f>参数设置!$C$26</f>
        <v/>
      </c>
      <c r="I8" s="10">
        <f>IFERROR((原料仓计算!F8*原料仓计算!H8)+原料仓计算!G8,0)</f>
        <v/>
      </c>
      <c r="J8" s="9" t="n"/>
      <c r="K8" s="9" t="n"/>
      <c r="L8" s="10">
        <f>参数设置!$C$7</f>
        <v/>
      </c>
      <c r="M8" s="9" t="n"/>
      <c r="N8" s="9" t="n"/>
      <c r="O8" s="9" t="n"/>
      <c r="P8" s="9" t="n"/>
      <c r="Q8" s="9" t="n"/>
      <c r="R8" s="10">
        <f>IFERROR(MAX(0,MAX(原料仓计算!E8*原料仓计算!I8,IF(原料仓计算!J8="",0,原料仓计算!J8),IF(原料仓计算!K8="",0,原料仓计算!K8))*原料仓计算!L8+IF(原料仓计算!M8="",0,原料仓计算!M8)+IF(原料仓计算!N8="",0,原料仓计算!N8)+IF(原料仓计算!O8="",0,原料仓计算!O8)+IF(原料仓计算!P8="",0,原料仓计算!P8)-IF(原料仓计算!Q8="",0,原料仓计算!Q8)),0)</f>
        <v/>
      </c>
      <c r="S8" s="9" t="n"/>
      <c r="T8" s="17">
        <f>IFERROR(CEILING(原料仓计算!R8/IF(原料仓计算!S8=0,1,原料仓计算!S8),1),0)</f>
        <v/>
      </c>
      <c r="U8" s="10">
        <f>IFERROR(原料仓计算!T8*参数设置!$C$13/MAX(参数设置!$C$14,1)/参数设置!$C$17*参数设置!$C$21,0)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17">
        <f>参数设置!$C$27</f>
        <v/>
      </c>
      <c r="H9" s="10">
        <f>参数设置!$C$26</f>
        <v/>
      </c>
      <c r="I9" s="10">
        <f>IFERROR((原料仓计算!F9*原料仓计算!H9)+原料仓计算!G9,0)</f>
        <v/>
      </c>
      <c r="J9" s="9" t="n"/>
      <c r="K9" s="9" t="n"/>
      <c r="L9" s="10">
        <f>参数设置!$C$7</f>
        <v/>
      </c>
      <c r="M9" s="9" t="n"/>
      <c r="N9" s="9" t="n"/>
      <c r="O9" s="9" t="n"/>
      <c r="P9" s="9" t="n"/>
      <c r="Q9" s="9" t="n"/>
      <c r="R9" s="10">
        <f>IFERROR(MAX(0,MAX(原料仓计算!E9*原料仓计算!I9,IF(原料仓计算!J9="",0,原料仓计算!J9),IF(原料仓计算!K9="",0,原料仓计算!K9))*原料仓计算!L9+IF(原料仓计算!M9="",0,原料仓计算!M9)+IF(原料仓计算!N9="",0,原料仓计算!N9)+IF(原料仓计算!O9="",0,原料仓计算!O9)+IF(原料仓计算!P9="",0,原料仓计算!P9)-IF(原料仓计算!Q9="",0,原料仓计算!Q9)),0)</f>
        <v/>
      </c>
      <c r="S9" s="9" t="n"/>
      <c r="T9" s="17">
        <f>IFERROR(CEILING(原料仓计算!R9/IF(原料仓计算!S9=0,1,原料仓计算!S9),1),0)</f>
        <v/>
      </c>
      <c r="U9" s="10">
        <f>IFERROR(原料仓计算!T9*参数设置!$C$13/MAX(参数设置!$C$14,1)/参数设置!$C$17*参数设置!$C$21,0)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17">
        <f>参数设置!$C$27</f>
        <v/>
      </c>
      <c r="H10" s="10">
        <f>参数设置!$C$26</f>
        <v/>
      </c>
      <c r="I10" s="10">
        <f>IFERROR((原料仓计算!F10*原料仓计算!H10)+原料仓计算!G10,0)</f>
        <v/>
      </c>
      <c r="J10" s="9" t="n"/>
      <c r="K10" s="9" t="n"/>
      <c r="L10" s="10">
        <f>参数设置!$C$7</f>
        <v/>
      </c>
      <c r="M10" s="9" t="n"/>
      <c r="N10" s="9" t="n"/>
      <c r="O10" s="9" t="n"/>
      <c r="P10" s="9" t="n"/>
      <c r="Q10" s="9" t="n"/>
      <c r="R10" s="10">
        <f>IFERROR(MAX(0,MAX(原料仓计算!E10*原料仓计算!I10,IF(原料仓计算!J10="",0,原料仓计算!J10),IF(原料仓计算!K10="",0,原料仓计算!K10))*原料仓计算!L10+IF(原料仓计算!M10="",0,原料仓计算!M10)+IF(原料仓计算!N10="",0,原料仓计算!N10)+IF(原料仓计算!O10="",0,原料仓计算!O10)+IF(原料仓计算!P10="",0,原料仓计算!P10)-IF(原料仓计算!Q10="",0,原料仓计算!Q10)),0)</f>
        <v/>
      </c>
      <c r="S10" s="9" t="n"/>
      <c r="T10" s="17">
        <f>IFERROR(CEILING(原料仓计算!R10/IF(原料仓计算!S10=0,1,原料仓计算!S10),1),0)</f>
        <v/>
      </c>
      <c r="U10" s="10">
        <f>IFERROR(原料仓计算!T10*参数设置!$C$13/MAX(参数设置!$C$14,1)/参数设置!$C$17*参数设置!$C$21,0)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17">
        <f>参数设置!$C$27</f>
        <v/>
      </c>
      <c r="H11" s="10">
        <f>参数设置!$C$26</f>
        <v/>
      </c>
      <c r="I11" s="10">
        <f>IFERROR((原料仓计算!F11*原料仓计算!H11)+原料仓计算!G11,0)</f>
        <v/>
      </c>
      <c r="J11" s="9" t="n"/>
      <c r="K11" s="9" t="n"/>
      <c r="L11" s="10">
        <f>参数设置!$C$7</f>
        <v/>
      </c>
      <c r="M11" s="9" t="n"/>
      <c r="N11" s="9" t="n"/>
      <c r="O11" s="9" t="n"/>
      <c r="P11" s="9" t="n"/>
      <c r="Q11" s="9" t="n"/>
      <c r="R11" s="10">
        <f>IFERROR(MAX(0,MAX(原料仓计算!E11*原料仓计算!I11,IF(原料仓计算!J11="",0,原料仓计算!J11),IF(原料仓计算!K11="",0,原料仓计算!K11))*原料仓计算!L11+IF(原料仓计算!M11="",0,原料仓计算!M11)+IF(原料仓计算!N11="",0,原料仓计算!N11)+IF(原料仓计算!O11="",0,原料仓计算!O11)+IF(原料仓计算!P11="",0,原料仓计算!P11)-IF(原料仓计算!Q11="",0,原料仓计算!Q11)),0)</f>
        <v/>
      </c>
      <c r="S11" s="9" t="n"/>
      <c r="T11" s="17">
        <f>IFERROR(CEILING(原料仓计算!R11/IF(原料仓计算!S11=0,1,原料仓计算!S11),1),0)</f>
        <v/>
      </c>
      <c r="U11" s="10">
        <f>IFERROR(原料仓计算!T11*参数设置!$C$13/MAX(参数设置!$C$14,1)/参数设置!$C$17*参数设置!$C$21,0)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17">
        <f>参数设置!$C$27</f>
        <v/>
      </c>
      <c r="H12" s="10">
        <f>参数设置!$C$26</f>
        <v/>
      </c>
      <c r="I12" s="10">
        <f>IFERROR((原料仓计算!F12*原料仓计算!H12)+原料仓计算!G12,0)</f>
        <v/>
      </c>
      <c r="J12" s="9" t="n"/>
      <c r="K12" s="9" t="n"/>
      <c r="L12" s="10">
        <f>参数设置!$C$7</f>
        <v/>
      </c>
      <c r="M12" s="9" t="n"/>
      <c r="N12" s="9" t="n"/>
      <c r="O12" s="9" t="n"/>
      <c r="P12" s="9" t="n"/>
      <c r="Q12" s="9" t="n"/>
      <c r="R12" s="10">
        <f>IFERROR(MAX(0,MAX(原料仓计算!E12*原料仓计算!I12,IF(原料仓计算!J12="",0,原料仓计算!J12),IF(原料仓计算!K12="",0,原料仓计算!K12))*原料仓计算!L12+IF(原料仓计算!M12="",0,原料仓计算!M12)+IF(原料仓计算!N12="",0,原料仓计算!N12)+IF(原料仓计算!O12="",0,原料仓计算!O12)+IF(原料仓计算!P12="",0,原料仓计算!P12)-IF(原料仓计算!Q12="",0,原料仓计算!Q12)),0)</f>
        <v/>
      </c>
      <c r="S12" s="9" t="n"/>
      <c r="T12" s="17">
        <f>IFERROR(CEILING(原料仓计算!R12/IF(原料仓计算!S12=0,1,原料仓计算!S12),1),0)</f>
        <v/>
      </c>
      <c r="U12" s="10">
        <f>IFERROR(原料仓计算!T12*参数设置!$C$13/MAX(参数设置!$C$14,1)/参数设置!$C$17*参数设置!$C$21,0)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17">
        <f>参数设置!$C$27</f>
        <v/>
      </c>
      <c r="H13" s="10">
        <f>参数设置!$C$26</f>
        <v/>
      </c>
      <c r="I13" s="10">
        <f>IFERROR((原料仓计算!F13*原料仓计算!H13)+原料仓计算!G13,0)</f>
        <v/>
      </c>
      <c r="J13" s="9" t="n"/>
      <c r="K13" s="9" t="n"/>
      <c r="L13" s="10">
        <f>参数设置!$C$7</f>
        <v/>
      </c>
      <c r="M13" s="9" t="n"/>
      <c r="N13" s="9" t="n"/>
      <c r="O13" s="9" t="n"/>
      <c r="P13" s="9" t="n"/>
      <c r="Q13" s="9" t="n"/>
      <c r="R13" s="10">
        <f>IFERROR(MAX(0,MAX(原料仓计算!E13*原料仓计算!I13,IF(原料仓计算!J13="",0,原料仓计算!J13),IF(原料仓计算!K13="",0,原料仓计算!K13))*原料仓计算!L13+IF(原料仓计算!M13="",0,原料仓计算!M13)+IF(原料仓计算!N13="",0,原料仓计算!N13)+IF(原料仓计算!O13="",0,原料仓计算!O13)+IF(原料仓计算!P13="",0,原料仓计算!P13)-IF(原料仓计算!Q13="",0,原料仓计算!Q13)),0)</f>
        <v/>
      </c>
      <c r="S13" s="9" t="n"/>
      <c r="T13" s="17">
        <f>IFERROR(CEILING(原料仓计算!R13/IF(原料仓计算!S13=0,1,原料仓计算!S13),1),0)</f>
        <v/>
      </c>
      <c r="U13" s="10">
        <f>IFERROR(原料仓计算!T13*参数设置!$C$13/MAX(参数设置!$C$14,1)/参数设置!$C$17*参数设置!$C$21,0)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17">
        <f>参数设置!$C$27</f>
        <v/>
      </c>
      <c r="H14" s="10">
        <f>参数设置!$C$26</f>
        <v/>
      </c>
      <c r="I14" s="10">
        <f>IFERROR((原料仓计算!F14*原料仓计算!H14)+原料仓计算!G14,0)</f>
        <v/>
      </c>
      <c r="J14" s="9" t="n"/>
      <c r="K14" s="9" t="n"/>
      <c r="L14" s="10">
        <f>参数设置!$C$7</f>
        <v/>
      </c>
      <c r="M14" s="9" t="n"/>
      <c r="N14" s="9" t="n"/>
      <c r="O14" s="9" t="n"/>
      <c r="P14" s="9" t="n"/>
      <c r="Q14" s="9" t="n"/>
      <c r="R14" s="10">
        <f>IFERROR(MAX(0,MAX(原料仓计算!E14*原料仓计算!I14,IF(原料仓计算!J14="",0,原料仓计算!J14),IF(原料仓计算!K14="",0,原料仓计算!K14))*原料仓计算!L14+IF(原料仓计算!M14="",0,原料仓计算!M14)+IF(原料仓计算!N14="",0,原料仓计算!N14)+IF(原料仓计算!O14="",0,原料仓计算!O14)+IF(原料仓计算!P14="",0,原料仓计算!P14)-IF(原料仓计算!Q14="",0,原料仓计算!Q14)),0)</f>
        <v/>
      </c>
      <c r="S14" s="9" t="n"/>
      <c r="T14" s="17">
        <f>IFERROR(CEILING(原料仓计算!R14/IF(原料仓计算!S14=0,1,原料仓计算!S14),1),0)</f>
        <v/>
      </c>
      <c r="U14" s="10">
        <f>IFERROR(原料仓计算!T14*参数设置!$C$13/MAX(参数设置!$C$14,1)/参数设置!$C$17*参数设置!$C$21,0)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17">
        <f>参数设置!$C$27</f>
        <v/>
      </c>
      <c r="H15" s="10">
        <f>参数设置!$C$26</f>
        <v/>
      </c>
      <c r="I15" s="10">
        <f>IFERROR((原料仓计算!F15*原料仓计算!H15)+原料仓计算!G15,0)</f>
        <v/>
      </c>
      <c r="J15" s="9" t="n"/>
      <c r="K15" s="9" t="n"/>
      <c r="L15" s="10">
        <f>参数设置!$C$7</f>
        <v/>
      </c>
      <c r="M15" s="9" t="n"/>
      <c r="N15" s="9" t="n"/>
      <c r="O15" s="9" t="n"/>
      <c r="P15" s="9" t="n"/>
      <c r="Q15" s="9" t="n"/>
      <c r="R15" s="10">
        <f>IFERROR(MAX(0,MAX(原料仓计算!E15*原料仓计算!I15,IF(原料仓计算!J15="",0,原料仓计算!J15),IF(原料仓计算!K15="",0,原料仓计算!K15))*原料仓计算!L15+IF(原料仓计算!M15="",0,原料仓计算!M15)+IF(原料仓计算!N15="",0,原料仓计算!N15)+IF(原料仓计算!O15="",0,原料仓计算!O15)+IF(原料仓计算!P15="",0,原料仓计算!P15)-IF(原料仓计算!Q15="",0,原料仓计算!Q15)),0)</f>
        <v/>
      </c>
      <c r="S15" s="9" t="n"/>
      <c r="T15" s="17">
        <f>IFERROR(CEILING(原料仓计算!R15/IF(原料仓计算!S15=0,1,原料仓计算!S15),1),0)</f>
        <v/>
      </c>
      <c r="U15" s="10">
        <f>IFERROR(原料仓计算!T15*参数设置!$C$13/MAX(参数设置!$C$14,1)/参数设置!$C$17*参数设置!$C$21,0)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17">
        <f>参数设置!$C$27</f>
        <v/>
      </c>
      <c r="H16" s="10">
        <f>参数设置!$C$26</f>
        <v/>
      </c>
      <c r="I16" s="10">
        <f>IFERROR((原料仓计算!F16*原料仓计算!H16)+原料仓计算!G16,0)</f>
        <v/>
      </c>
      <c r="J16" s="9" t="n"/>
      <c r="K16" s="9" t="n"/>
      <c r="L16" s="10">
        <f>参数设置!$C$7</f>
        <v/>
      </c>
      <c r="M16" s="9" t="n"/>
      <c r="N16" s="9" t="n"/>
      <c r="O16" s="9" t="n"/>
      <c r="P16" s="9" t="n"/>
      <c r="Q16" s="9" t="n"/>
      <c r="R16" s="10">
        <f>IFERROR(MAX(0,MAX(原料仓计算!E16*原料仓计算!I16,IF(原料仓计算!J16="",0,原料仓计算!J16),IF(原料仓计算!K16="",0,原料仓计算!K16))*原料仓计算!L16+IF(原料仓计算!M16="",0,原料仓计算!M16)+IF(原料仓计算!N16="",0,原料仓计算!N16)+IF(原料仓计算!O16="",0,原料仓计算!O16)+IF(原料仓计算!P16="",0,原料仓计算!P16)-IF(原料仓计算!Q16="",0,原料仓计算!Q16)),0)</f>
        <v/>
      </c>
      <c r="S16" s="9" t="n"/>
      <c r="T16" s="17">
        <f>IFERROR(CEILING(原料仓计算!R16/IF(原料仓计算!S16=0,1,原料仓计算!S16),1),0)</f>
        <v/>
      </c>
      <c r="U16" s="10">
        <f>IFERROR(原料仓计算!T16*参数设置!$C$13/MAX(参数设置!$C$14,1)/参数设置!$C$17*参数设置!$C$21,0)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17">
        <f>参数设置!$C$27</f>
        <v/>
      </c>
      <c r="H17" s="10">
        <f>参数设置!$C$26</f>
        <v/>
      </c>
      <c r="I17" s="10">
        <f>IFERROR((原料仓计算!F17*原料仓计算!H17)+原料仓计算!G17,0)</f>
        <v/>
      </c>
      <c r="J17" s="9" t="n"/>
      <c r="K17" s="9" t="n"/>
      <c r="L17" s="10">
        <f>参数设置!$C$7</f>
        <v/>
      </c>
      <c r="M17" s="9" t="n"/>
      <c r="N17" s="9" t="n"/>
      <c r="O17" s="9" t="n"/>
      <c r="P17" s="9" t="n"/>
      <c r="Q17" s="9" t="n"/>
      <c r="R17" s="10">
        <f>IFERROR(MAX(0,MAX(原料仓计算!E17*原料仓计算!I17,IF(原料仓计算!J17="",0,原料仓计算!J17),IF(原料仓计算!K17="",0,原料仓计算!K17))*原料仓计算!L17+IF(原料仓计算!M17="",0,原料仓计算!M17)+IF(原料仓计算!N17="",0,原料仓计算!N17)+IF(原料仓计算!O17="",0,原料仓计算!O17)+IF(原料仓计算!P17="",0,原料仓计算!P17)-IF(原料仓计算!Q17="",0,原料仓计算!Q17)),0)</f>
        <v/>
      </c>
      <c r="S17" s="9" t="n"/>
      <c r="T17" s="17">
        <f>IFERROR(CEILING(原料仓计算!R17/IF(原料仓计算!S17=0,1,原料仓计算!S17),1),0)</f>
        <v/>
      </c>
      <c r="U17" s="10">
        <f>IFERROR(原料仓计算!T17*参数设置!$C$13/MAX(参数设置!$C$14,1)/参数设置!$C$17*参数设置!$C$21,0)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17">
        <f>参数设置!$C$27</f>
        <v/>
      </c>
      <c r="H18" s="10">
        <f>参数设置!$C$26</f>
        <v/>
      </c>
      <c r="I18" s="10">
        <f>IFERROR((原料仓计算!F18*原料仓计算!H18)+原料仓计算!G18,0)</f>
        <v/>
      </c>
      <c r="J18" s="9" t="n"/>
      <c r="K18" s="9" t="n"/>
      <c r="L18" s="10">
        <f>参数设置!$C$7</f>
        <v/>
      </c>
      <c r="M18" s="9" t="n"/>
      <c r="N18" s="9" t="n"/>
      <c r="O18" s="9" t="n"/>
      <c r="P18" s="9" t="n"/>
      <c r="Q18" s="9" t="n"/>
      <c r="R18" s="10">
        <f>IFERROR(MAX(0,MAX(原料仓计算!E18*原料仓计算!I18,IF(原料仓计算!J18="",0,原料仓计算!J18),IF(原料仓计算!K18="",0,原料仓计算!K18))*原料仓计算!L18+IF(原料仓计算!M18="",0,原料仓计算!M18)+IF(原料仓计算!N18="",0,原料仓计算!N18)+IF(原料仓计算!O18="",0,原料仓计算!O18)+IF(原料仓计算!P18="",0,原料仓计算!P18)-IF(原料仓计算!Q18="",0,原料仓计算!Q18)),0)</f>
        <v/>
      </c>
      <c r="S18" s="9" t="n"/>
      <c r="T18" s="17">
        <f>IFERROR(CEILING(原料仓计算!R18/IF(原料仓计算!S18=0,1,原料仓计算!S18),1),0)</f>
        <v/>
      </c>
      <c r="U18" s="10">
        <f>IFERROR(原料仓计算!T18*参数设置!$C$13/MAX(参数设置!$C$14,1)/参数设置!$C$17*参数设置!$C$21,0)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R19" s="10">
        <f>SUM(R4:R18)</f>
        <v/>
      </c>
      <c r="T19" s="17">
        <f>SUM(T4:T18)</f>
        <v/>
      </c>
      <c r="U19" s="10">
        <f>SUM(U4:U18)</f>
        <v/>
      </c>
    </row>
  </sheetData>
  <mergeCells count="3">
    <mergeCell ref="A1:U1"/>
    <mergeCell ref="A19:D19"/>
    <mergeCell ref="A2:U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S10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0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批量×最大等待批次数)÷(1-设备故障率)×(1+良率损失率)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修正后基础WIP
[自动]</t>
        </is>
      </c>
      <c r="M3" s="6" t="inlineStr">
        <is>
          <t>设备故障率</t>
        </is>
      </c>
      <c r="N3" s="6" t="inlineStr">
        <is>
          <t>工序良率
损失率</t>
        </is>
      </c>
      <c r="O3" s="6" t="inlineStr">
        <is>
          <t>待检等待
库存</t>
        </is>
      </c>
      <c r="P3" s="6" t="inlineStr">
        <is>
          <t>尾批库存</t>
        </is>
      </c>
      <c r="Q3" s="6" t="inlineStr">
        <is>
          <t>不良/返工/
隔离库存</t>
        </is>
      </c>
      <c r="R3" s="6" t="inlineStr">
        <is>
          <t>设计WIP
合计
[自动]</t>
        </is>
      </c>
      <c r="S3" s="6" t="inlineStr">
        <is>
          <t>估算占地
面积(m²)
[自动]</t>
        </is>
      </c>
    </row>
    <row r="4" ht="22" customHeight="1">
      <c r="A4" s="7" t="inlineStr">
        <is>
          <t>【粗破后暂存】</t>
        </is>
      </c>
    </row>
    <row r="5" ht="20" customHeight="1">
      <c r="A5" s="13" t="n">
        <v>1</v>
      </c>
      <c r="B5" s="16" t="inlineStr">
        <is>
          <t>粗破后暂存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IFERROR(MAX(过程品仓计算!H5,过程品仓计算!K5)/MAX(1-IF(过程品仓计算!M5="",0,过程品仓计算!M5),0.01)*(1+IF(过程品仓计算!N5="",0,过程品仓计算!N5)),0)</f>
        <v/>
      </c>
      <c r="M5" s="11" t="n">
        <v>0</v>
      </c>
      <c r="N5" s="11" t="n">
        <v>0</v>
      </c>
      <c r="O5" s="9" t="n"/>
      <c r="P5" s="9" t="n"/>
      <c r="Q5" s="9" t="n"/>
      <c r="R5" s="10">
        <f>IFERROR(过程品仓计算!L5+IF(过程品仓计算!O5="",0,过程品仓计算!O5)+IF(过程品仓计算!P5="",0,过程品仓计算!P5)+IF(过程品仓计算!Q5="",0,过程品仓计算!Q5),0)</f>
        <v/>
      </c>
      <c r="S5" s="10">
        <f>IFERROR(CEILING(过程品仓计算!R5/MAX(产品SKU!M3,1),1)*参数设置!$C$13/MAX(参数设置!$C$14,1)/参数设置!$C$18*参数设置!$C$21,0)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粗破后暂存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IFERROR(MAX(过程品仓计算!H6,过程品仓计算!K6)/MAX(1-IF(过程品仓计算!M6="",0,过程品仓计算!M6),0.01)*(1+IF(过程品仓计算!N6="",0,过程品仓计算!N6)),0)</f>
        <v/>
      </c>
      <c r="M6" s="11" t="n">
        <v>0</v>
      </c>
      <c r="N6" s="11" t="n">
        <v>0</v>
      </c>
      <c r="O6" s="9" t="n"/>
      <c r="P6" s="9" t="n"/>
      <c r="Q6" s="9" t="n"/>
      <c r="R6" s="10">
        <f>IFERROR(过程品仓计算!L6+IF(过程品仓计算!O6="",0,过程品仓计算!O6)+IF(过程品仓计算!P6="",0,过程品仓计算!P6)+IF(过程品仓计算!Q6="",0,过程品仓计算!Q6),0)</f>
        <v/>
      </c>
      <c r="S6" s="10">
        <f>IFERROR(CEILING(过程品仓计算!R6/MAX(产品SKU!M4,1),1)*参数设置!$C$13/MAX(参数设置!$C$14,1)/参数设置!$C$18*参数设置!$C$21,0)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粗破后暂存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IFERROR(MAX(过程品仓计算!H7,过程品仓计算!K7)/MAX(1-IF(过程品仓计算!M7="",0,过程品仓计算!M7),0.01)*(1+IF(过程品仓计算!N7="",0,过程品仓计算!N7)),0)</f>
        <v/>
      </c>
      <c r="M7" s="11" t="n">
        <v>0</v>
      </c>
      <c r="N7" s="11" t="n">
        <v>0</v>
      </c>
      <c r="O7" s="9" t="n"/>
      <c r="P7" s="9" t="n"/>
      <c r="Q7" s="9" t="n"/>
      <c r="R7" s="10">
        <f>IFERROR(过程品仓计算!L7+IF(过程品仓计算!O7="",0,过程品仓计算!O7)+IF(过程品仓计算!P7="",0,过程品仓计算!P7)+IF(过程品仓计算!Q7="",0,过程品仓计算!Q7),0)</f>
        <v/>
      </c>
      <c r="S7" s="10">
        <f>IFERROR(CEILING(过程品仓计算!R7/MAX(产品SKU!M5,1),1)*参数设置!$C$13/MAX(参数设置!$C$14,1)/参数设置!$C$18*参数设置!$C$21,0)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粗破后暂存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IFERROR(MAX(过程品仓计算!H8,过程品仓计算!K8)/MAX(1-IF(过程品仓计算!M8="",0,过程品仓计算!M8),0.01)*(1+IF(过程品仓计算!N8="",0,过程品仓计算!N8)),0)</f>
        <v/>
      </c>
      <c r="M8" s="11" t="n">
        <v>0</v>
      </c>
      <c r="N8" s="11" t="n">
        <v>0</v>
      </c>
      <c r="O8" s="9" t="n"/>
      <c r="P8" s="9" t="n"/>
      <c r="Q8" s="9" t="n"/>
      <c r="R8" s="10">
        <f>IFERROR(过程品仓计算!L8+IF(过程品仓计算!O8="",0,过程品仓计算!O8)+IF(过程品仓计算!P8="",0,过程品仓计算!P8)+IF(过程品仓计算!Q8="",0,过程品仓计算!Q8),0)</f>
        <v/>
      </c>
      <c r="S8" s="10">
        <f>IFERROR(CEILING(过程品仓计算!R8/MAX(产品SKU!M6,1),1)*参数设置!$C$13/MAX(参数设置!$C$14,1)/参数设置!$C$18*参数设置!$C$21,0)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粗破后暂存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IFERROR(MAX(过程品仓计算!H9,过程品仓计算!K9)/MAX(1-IF(过程品仓计算!M9="",0,过程品仓计算!M9),0.01)*(1+IF(过程品仓计算!N9="",0,过程品仓计算!N9)),0)</f>
        <v/>
      </c>
      <c r="M9" s="11" t="n">
        <v>0</v>
      </c>
      <c r="N9" s="11" t="n">
        <v>0</v>
      </c>
      <c r="O9" s="9" t="n"/>
      <c r="P9" s="9" t="n"/>
      <c r="Q9" s="9" t="n"/>
      <c r="R9" s="10">
        <f>IFERROR(过程品仓计算!L9+IF(过程品仓计算!O9="",0,过程品仓计算!O9)+IF(过程品仓计算!P9="",0,过程品仓计算!P9)+IF(过程品仓计算!Q9="",0,过程品仓计算!Q9),0)</f>
        <v/>
      </c>
      <c r="S9" s="10">
        <f>IFERROR(CEILING(过程品仓计算!R9/MAX(产品SKU!M7,1),1)*参数设置!$C$13/MAX(参数设置!$C$14,1)/参数设置!$C$18*参数设置!$C$21,0)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粗破后暂存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IFERROR(MAX(过程品仓计算!H10,过程品仓计算!K10)/MAX(1-IF(过程品仓计算!M10="",0,过程品仓计算!M10),0.01)*(1+IF(过程品仓计算!N10="",0,过程品仓计算!N10)),0)</f>
        <v/>
      </c>
      <c r="M10" s="11" t="n">
        <v>0</v>
      </c>
      <c r="N10" s="11" t="n">
        <v>0</v>
      </c>
      <c r="O10" s="9" t="n"/>
      <c r="P10" s="9" t="n"/>
      <c r="Q10" s="9" t="n"/>
      <c r="R10" s="10">
        <f>IFERROR(过程品仓计算!L10+IF(过程品仓计算!O10="",0,过程品仓计算!O10)+IF(过程品仓计算!P10="",0,过程品仓计算!P10)+IF(过程品仓计算!Q10="",0,过程品仓计算!Q10),0)</f>
        <v/>
      </c>
      <c r="S10" s="10">
        <f>IFERROR(CEILING(过程品仓计算!R10/MAX(产品SKU!M8,1),1)*参数设置!$C$13/MAX(参数设置!$C$14,1)/参数设置!$C$18*参数设置!$C$21,0)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粗破后暂存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IFERROR(MAX(过程品仓计算!H11,过程品仓计算!K11)/MAX(1-IF(过程品仓计算!M11="",0,过程品仓计算!M11),0.01)*(1+IF(过程品仓计算!N11="",0,过程品仓计算!N11)),0)</f>
        <v/>
      </c>
      <c r="M11" s="11" t="n">
        <v>0</v>
      </c>
      <c r="N11" s="11" t="n">
        <v>0</v>
      </c>
      <c r="O11" s="9" t="n"/>
      <c r="P11" s="9" t="n"/>
      <c r="Q11" s="9" t="n"/>
      <c r="R11" s="10">
        <f>IFERROR(过程品仓计算!L11+IF(过程品仓计算!O11="",0,过程品仓计算!O11)+IF(过程品仓计算!P11="",0,过程品仓计算!P11)+IF(过程品仓计算!Q11="",0,过程品仓计算!Q11),0)</f>
        <v/>
      </c>
      <c r="S11" s="10">
        <f>IFERROR(CEILING(过程品仓计算!R11/MAX(产品SKU!M9,1),1)*参数设置!$C$13/MAX(参数设置!$C$14,1)/参数设置!$C$18*参数设置!$C$21,0)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粗破后暂存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IFERROR(MAX(过程品仓计算!H12,过程品仓计算!K12)/MAX(1-IF(过程品仓计算!M12="",0,过程品仓计算!M12),0.01)*(1+IF(过程品仓计算!N12="",0,过程品仓计算!N12)),0)</f>
        <v/>
      </c>
      <c r="M12" s="11" t="n">
        <v>0</v>
      </c>
      <c r="N12" s="11" t="n">
        <v>0</v>
      </c>
      <c r="O12" s="9" t="n"/>
      <c r="P12" s="9" t="n"/>
      <c r="Q12" s="9" t="n"/>
      <c r="R12" s="10">
        <f>IFERROR(过程品仓计算!L12+IF(过程品仓计算!O12="",0,过程品仓计算!O12)+IF(过程品仓计算!P12="",0,过程品仓计算!P12)+IF(过程品仓计算!Q12="",0,过程品仓计算!Q12),0)</f>
        <v/>
      </c>
      <c r="S12" s="10">
        <f>IFERROR(CEILING(过程品仓计算!R12/MAX(产品SKU!M10,1),1)*参数设置!$C$13/MAX(参数设置!$C$14,1)/参数设置!$C$18*参数设置!$C$21,0)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粗破后暂存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IFERROR(MAX(过程品仓计算!H13,过程品仓计算!K13)/MAX(1-IF(过程品仓计算!M13="",0,过程品仓计算!M13),0.01)*(1+IF(过程品仓计算!N13="",0,过程品仓计算!N13)),0)</f>
        <v/>
      </c>
      <c r="M13" s="11" t="n">
        <v>0</v>
      </c>
      <c r="N13" s="11" t="n">
        <v>0</v>
      </c>
      <c r="O13" s="9" t="n"/>
      <c r="P13" s="9" t="n"/>
      <c r="Q13" s="9" t="n"/>
      <c r="R13" s="10">
        <f>IFERROR(过程品仓计算!L13+IF(过程品仓计算!O13="",0,过程品仓计算!O13)+IF(过程品仓计算!P13="",0,过程品仓计算!P13)+IF(过程品仓计算!Q13="",0,过程品仓计算!Q13),0)</f>
        <v/>
      </c>
      <c r="S13" s="10">
        <f>IFERROR(CEILING(过程品仓计算!R13/MAX(产品SKU!M11,1),1)*参数设置!$C$13/MAX(参数设置!$C$14,1)/参数设置!$C$18*参数设置!$C$21,0)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粗破后暂存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IFERROR(MAX(过程品仓计算!H14,过程品仓计算!K14)/MAX(1-IF(过程品仓计算!M14="",0,过程品仓计算!M14),0.01)*(1+IF(过程品仓计算!N14="",0,过程品仓计算!N14)),0)</f>
        <v/>
      </c>
      <c r="M14" s="11" t="n">
        <v>0</v>
      </c>
      <c r="N14" s="11" t="n">
        <v>0</v>
      </c>
      <c r="O14" s="9" t="n"/>
      <c r="P14" s="9" t="n"/>
      <c r="Q14" s="9" t="n"/>
      <c r="R14" s="10">
        <f>IFERROR(过程品仓计算!L14+IF(过程品仓计算!O14="",0,过程品仓计算!O14)+IF(过程品仓计算!P14="",0,过程品仓计算!P14)+IF(过程品仓计算!Q14="",0,过程品仓计算!Q14),0)</f>
        <v/>
      </c>
      <c r="S14" s="10">
        <f>IFERROR(CEILING(过程品仓计算!R14/MAX(产品SKU!M12,1),1)*参数设置!$C$13/MAX(参数设置!$C$14,1)/参数设置!$C$18*参数设置!$C$21,0)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粗破后暂存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IFERROR(MAX(过程品仓计算!H15,过程品仓计算!K15)/MAX(1-IF(过程品仓计算!M15="",0,过程品仓计算!M15),0.01)*(1+IF(过程品仓计算!N15="",0,过程品仓计算!N15)),0)</f>
        <v/>
      </c>
      <c r="M15" s="11" t="n">
        <v>0</v>
      </c>
      <c r="N15" s="11" t="n">
        <v>0</v>
      </c>
      <c r="O15" s="9" t="n"/>
      <c r="P15" s="9" t="n"/>
      <c r="Q15" s="9" t="n"/>
      <c r="R15" s="10">
        <f>IFERROR(过程品仓计算!L15+IF(过程品仓计算!O15="",0,过程品仓计算!O15)+IF(过程品仓计算!P15="",0,过程品仓计算!P15)+IF(过程品仓计算!Q15="",0,过程品仓计算!Q15),0)</f>
        <v/>
      </c>
      <c r="S15" s="10">
        <f>IFERROR(CEILING(过程品仓计算!R15/MAX(产品SKU!M13,1),1)*参数设置!$C$13/MAX(参数设置!$C$14,1)/参数设置!$C$18*参数设置!$C$21,0)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粗破后暂存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IFERROR(MAX(过程品仓计算!H16,过程品仓计算!K16)/MAX(1-IF(过程品仓计算!M16="",0,过程品仓计算!M16),0.01)*(1+IF(过程品仓计算!N16="",0,过程品仓计算!N16)),0)</f>
        <v/>
      </c>
      <c r="M16" s="11" t="n">
        <v>0</v>
      </c>
      <c r="N16" s="11" t="n">
        <v>0</v>
      </c>
      <c r="O16" s="9" t="n"/>
      <c r="P16" s="9" t="n"/>
      <c r="Q16" s="9" t="n"/>
      <c r="R16" s="10">
        <f>IFERROR(过程品仓计算!L16+IF(过程品仓计算!O16="",0,过程品仓计算!O16)+IF(过程品仓计算!P16="",0,过程品仓计算!P16)+IF(过程品仓计算!Q16="",0,过程品仓计算!Q16),0)</f>
        <v/>
      </c>
      <c r="S16" s="10">
        <f>IFERROR(CEILING(过程品仓计算!R16/MAX(产品SKU!M14,1),1)*参数设置!$C$13/MAX(参数设置!$C$14,1)/参数设置!$C$18*参数设置!$C$21,0)</f>
        <v/>
      </c>
    </row>
    <row r="17" ht="20" customHeight="1">
      <c r="A17" s="19" t="inlineStr">
        <is>
          <t>粗破后暂存 小计</t>
        </is>
      </c>
      <c r="R17" s="10">
        <f>SUM(R5:R16)</f>
        <v/>
      </c>
      <c r="S17" s="10">
        <f>SUM(S5:S16)</f>
        <v/>
      </c>
    </row>
    <row r="18" ht="22" customHeight="1">
      <c r="A18" s="7" t="inlineStr">
        <is>
          <t>【烘干后暂存】</t>
        </is>
      </c>
    </row>
    <row r="19" ht="20" customHeight="1">
      <c r="A19" s="13" t="n">
        <v>1</v>
      </c>
      <c r="B19" s="16" t="inlineStr">
        <is>
          <t>烘干后暂存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IFERROR(MAX(过程品仓计算!H19,过程品仓计算!K19)/MAX(1-IF(过程品仓计算!M19="",0,过程品仓计算!M19),0.01)*(1+IF(过程品仓计算!N19="",0,过程品仓计算!N19)),0)</f>
        <v/>
      </c>
      <c r="M19" s="11" t="n">
        <v>0</v>
      </c>
      <c r="N19" s="11" t="n">
        <v>0</v>
      </c>
      <c r="O19" s="9" t="n"/>
      <c r="P19" s="9" t="n"/>
      <c r="Q19" s="9" t="n"/>
      <c r="R19" s="10">
        <f>IFERROR(过程品仓计算!L19+IF(过程品仓计算!O19="",0,过程品仓计算!O19)+IF(过程品仓计算!P19="",0,过程品仓计算!P19)+IF(过程品仓计算!Q19="",0,过程品仓计算!Q19),0)</f>
        <v/>
      </c>
      <c r="S19" s="10">
        <f>IFERROR(CEILING(过程品仓计算!R19/MAX(产品SKU!M3,1),1)*参数设置!$C$13/MAX(参数设置!$C$14,1)/参数设置!$C$18*参数设置!$C$21,0)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烘干后暂存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IFERROR(MAX(过程品仓计算!H20,过程品仓计算!K20)/MAX(1-IF(过程品仓计算!M20="",0,过程品仓计算!M20),0.01)*(1+IF(过程品仓计算!N20="",0,过程品仓计算!N20)),0)</f>
        <v/>
      </c>
      <c r="M20" s="11" t="n">
        <v>0</v>
      </c>
      <c r="N20" s="11" t="n">
        <v>0</v>
      </c>
      <c r="O20" s="9" t="n"/>
      <c r="P20" s="9" t="n"/>
      <c r="Q20" s="9" t="n"/>
      <c r="R20" s="10">
        <f>IFERROR(过程品仓计算!L20+IF(过程品仓计算!O20="",0,过程品仓计算!O20)+IF(过程品仓计算!P20="",0,过程品仓计算!P20)+IF(过程品仓计算!Q20="",0,过程品仓计算!Q20),0)</f>
        <v/>
      </c>
      <c r="S20" s="10">
        <f>IFERROR(CEILING(过程品仓计算!R20/MAX(产品SKU!M4,1),1)*参数设置!$C$13/MAX(参数设置!$C$14,1)/参数设置!$C$18*参数设置!$C$21,0)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烘干后暂存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IFERROR(MAX(过程品仓计算!H21,过程品仓计算!K21)/MAX(1-IF(过程品仓计算!M21="",0,过程品仓计算!M21),0.01)*(1+IF(过程品仓计算!N21="",0,过程品仓计算!N21)),0)</f>
        <v/>
      </c>
      <c r="M21" s="11" t="n">
        <v>0</v>
      </c>
      <c r="N21" s="11" t="n">
        <v>0</v>
      </c>
      <c r="O21" s="9" t="n"/>
      <c r="P21" s="9" t="n"/>
      <c r="Q21" s="9" t="n"/>
      <c r="R21" s="10">
        <f>IFERROR(过程品仓计算!L21+IF(过程品仓计算!O21="",0,过程品仓计算!O21)+IF(过程品仓计算!P21="",0,过程品仓计算!P21)+IF(过程品仓计算!Q21="",0,过程品仓计算!Q21),0)</f>
        <v/>
      </c>
      <c r="S21" s="10">
        <f>IFERROR(CEILING(过程品仓计算!R21/MAX(产品SKU!M5,1),1)*参数设置!$C$13/MAX(参数设置!$C$14,1)/参数设置!$C$18*参数设置!$C$21,0)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烘干后暂存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IFERROR(MAX(过程品仓计算!H22,过程品仓计算!K22)/MAX(1-IF(过程品仓计算!M22="",0,过程品仓计算!M22),0.01)*(1+IF(过程品仓计算!N22="",0,过程品仓计算!N22)),0)</f>
        <v/>
      </c>
      <c r="M22" s="11" t="n">
        <v>0</v>
      </c>
      <c r="N22" s="11" t="n">
        <v>0</v>
      </c>
      <c r="O22" s="9" t="n"/>
      <c r="P22" s="9" t="n"/>
      <c r="Q22" s="9" t="n"/>
      <c r="R22" s="10">
        <f>IFERROR(过程品仓计算!L22+IF(过程品仓计算!O22="",0,过程品仓计算!O22)+IF(过程品仓计算!P22="",0,过程品仓计算!P22)+IF(过程品仓计算!Q22="",0,过程品仓计算!Q22),0)</f>
        <v/>
      </c>
      <c r="S22" s="10">
        <f>IFERROR(CEILING(过程品仓计算!R22/MAX(产品SKU!M6,1),1)*参数设置!$C$13/MAX(参数设置!$C$14,1)/参数设置!$C$18*参数设置!$C$21,0)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烘干后暂存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IFERROR(MAX(过程品仓计算!H23,过程品仓计算!K23)/MAX(1-IF(过程品仓计算!M23="",0,过程品仓计算!M23),0.01)*(1+IF(过程品仓计算!N23="",0,过程品仓计算!N23)),0)</f>
        <v/>
      </c>
      <c r="M23" s="11" t="n">
        <v>0</v>
      </c>
      <c r="N23" s="11" t="n">
        <v>0</v>
      </c>
      <c r="O23" s="9" t="n"/>
      <c r="P23" s="9" t="n"/>
      <c r="Q23" s="9" t="n"/>
      <c r="R23" s="10">
        <f>IFERROR(过程品仓计算!L23+IF(过程品仓计算!O23="",0,过程品仓计算!O23)+IF(过程品仓计算!P23="",0,过程品仓计算!P23)+IF(过程品仓计算!Q23="",0,过程品仓计算!Q23),0)</f>
        <v/>
      </c>
      <c r="S23" s="10">
        <f>IFERROR(CEILING(过程品仓计算!R23/MAX(产品SKU!M7,1),1)*参数设置!$C$13/MAX(参数设置!$C$14,1)/参数设置!$C$18*参数设置!$C$21,0)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烘干后暂存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IFERROR(MAX(过程品仓计算!H24,过程品仓计算!K24)/MAX(1-IF(过程品仓计算!M24="",0,过程品仓计算!M24),0.01)*(1+IF(过程品仓计算!N24="",0,过程品仓计算!N24)),0)</f>
        <v/>
      </c>
      <c r="M24" s="11" t="n">
        <v>0</v>
      </c>
      <c r="N24" s="11" t="n">
        <v>0</v>
      </c>
      <c r="O24" s="9" t="n"/>
      <c r="P24" s="9" t="n"/>
      <c r="Q24" s="9" t="n"/>
      <c r="R24" s="10">
        <f>IFERROR(过程品仓计算!L24+IF(过程品仓计算!O24="",0,过程品仓计算!O24)+IF(过程品仓计算!P24="",0,过程品仓计算!P24)+IF(过程品仓计算!Q24="",0,过程品仓计算!Q24),0)</f>
        <v/>
      </c>
      <c r="S24" s="10">
        <f>IFERROR(CEILING(过程品仓计算!R24/MAX(产品SKU!M8,1),1)*参数设置!$C$13/MAX(参数设置!$C$14,1)/参数设置!$C$18*参数设置!$C$21,0)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烘干后暂存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IFERROR(MAX(过程品仓计算!H25,过程品仓计算!K25)/MAX(1-IF(过程品仓计算!M25="",0,过程品仓计算!M25),0.01)*(1+IF(过程品仓计算!N25="",0,过程品仓计算!N25)),0)</f>
        <v/>
      </c>
      <c r="M25" s="11" t="n">
        <v>0</v>
      </c>
      <c r="N25" s="11" t="n">
        <v>0</v>
      </c>
      <c r="O25" s="9" t="n"/>
      <c r="P25" s="9" t="n"/>
      <c r="Q25" s="9" t="n"/>
      <c r="R25" s="10">
        <f>IFERROR(过程品仓计算!L25+IF(过程品仓计算!O25="",0,过程品仓计算!O25)+IF(过程品仓计算!P25="",0,过程品仓计算!P25)+IF(过程品仓计算!Q25="",0,过程品仓计算!Q25),0)</f>
        <v/>
      </c>
      <c r="S25" s="10">
        <f>IFERROR(CEILING(过程品仓计算!R25/MAX(产品SKU!M9,1),1)*参数设置!$C$13/MAX(参数设置!$C$14,1)/参数设置!$C$18*参数设置!$C$21,0)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烘干后暂存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IFERROR(MAX(过程品仓计算!H26,过程品仓计算!K26)/MAX(1-IF(过程品仓计算!M26="",0,过程品仓计算!M26),0.01)*(1+IF(过程品仓计算!N26="",0,过程品仓计算!N26)),0)</f>
        <v/>
      </c>
      <c r="M26" s="11" t="n">
        <v>0</v>
      </c>
      <c r="N26" s="11" t="n">
        <v>0</v>
      </c>
      <c r="O26" s="9" t="n"/>
      <c r="P26" s="9" t="n"/>
      <c r="Q26" s="9" t="n"/>
      <c r="R26" s="10">
        <f>IFERROR(过程品仓计算!L26+IF(过程品仓计算!O26="",0,过程品仓计算!O26)+IF(过程品仓计算!P26="",0,过程品仓计算!P26)+IF(过程品仓计算!Q26="",0,过程品仓计算!Q26),0)</f>
        <v/>
      </c>
      <c r="S26" s="10">
        <f>IFERROR(CEILING(过程品仓计算!R26/MAX(产品SKU!M10,1),1)*参数设置!$C$13/MAX(参数设置!$C$14,1)/参数设置!$C$18*参数设置!$C$21,0)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烘干后暂存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IFERROR(MAX(过程品仓计算!H27,过程品仓计算!K27)/MAX(1-IF(过程品仓计算!M27="",0,过程品仓计算!M27),0.01)*(1+IF(过程品仓计算!N27="",0,过程品仓计算!N27)),0)</f>
        <v/>
      </c>
      <c r="M27" s="11" t="n">
        <v>0</v>
      </c>
      <c r="N27" s="11" t="n">
        <v>0</v>
      </c>
      <c r="O27" s="9" t="n"/>
      <c r="P27" s="9" t="n"/>
      <c r="Q27" s="9" t="n"/>
      <c r="R27" s="10">
        <f>IFERROR(过程品仓计算!L27+IF(过程品仓计算!O27="",0,过程品仓计算!O27)+IF(过程品仓计算!P27="",0,过程品仓计算!P27)+IF(过程品仓计算!Q27="",0,过程品仓计算!Q27),0)</f>
        <v/>
      </c>
      <c r="S27" s="10">
        <f>IFERROR(CEILING(过程品仓计算!R27/MAX(产品SKU!M11,1),1)*参数设置!$C$13/MAX(参数设置!$C$14,1)/参数设置!$C$18*参数设置!$C$21,0)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烘干后暂存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IFERROR(MAX(过程品仓计算!H28,过程品仓计算!K28)/MAX(1-IF(过程品仓计算!M28="",0,过程品仓计算!M28),0.01)*(1+IF(过程品仓计算!N28="",0,过程品仓计算!N28)),0)</f>
        <v/>
      </c>
      <c r="M28" s="11" t="n">
        <v>0</v>
      </c>
      <c r="N28" s="11" t="n">
        <v>0</v>
      </c>
      <c r="O28" s="9" t="n"/>
      <c r="P28" s="9" t="n"/>
      <c r="Q28" s="9" t="n"/>
      <c r="R28" s="10">
        <f>IFERROR(过程品仓计算!L28+IF(过程品仓计算!O28="",0,过程品仓计算!O28)+IF(过程品仓计算!P28="",0,过程品仓计算!P28)+IF(过程品仓计算!Q28="",0,过程品仓计算!Q28),0)</f>
        <v/>
      </c>
      <c r="S28" s="10">
        <f>IFERROR(CEILING(过程品仓计算!R28/MAX(产品SKU!M12,1),1)*参数设置!$C$13/MAX(参数设置!$C$14,1)/参数设置!$C$18*参数设置!$C$21,0)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烘干后暂存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IFERROR(MAX(过程品仓计算!H29,过程品仓计算!K29)/MAX(1-IF(过程品仓计算!M29="",0,过程品仓计算!M29),0.01)*(1+IF(过程品仓计算!N29="",0,过程品仓计算!N29)),0)</f>
        <v/>
      </c>
      <c r="M29" s="11" t="n">
        <v>0</v>
      </c>
      <c r="N29" s="11" t="n">
        <v>0</v>
      </c>
      <c r="O29" s="9" t="n"/>
      <c r="P29" s="9" t="n"/>
      <c r="Q29" s="9" t="n"/>
      <c r="R29" s="10">
        <f>IFERROR(过程品仓计算!L29+IF(过程品仓计算!O29="",0,过程品仓计算!O29)+IF(过程品仓计算!P29="",0,过程品仓计算!P29)+IF(过程品仓计算!Q29="",0,过程品仓计算!Q29),0)</f>
        <v/>
      </c>
      <c r="S29" s="10">
        <f>IFERROR(CEILING(过程品仓计算!R29/MAX(产品SKU!M13,1),1)*参数设置!$C$13/MAX(参数设置!$C$14,1)/参数设置!$C$18*参数设置!$C$21,0)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烘干后暂存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IFERROR(MAX(过程品仓计算!H30,过程品仓计算!K30)/MAX(1-IF(过程品仓计算!M30="",0,过程品仓计算!M30),0.01)*(1+IF(过程品仓计算!N30="",0,过程品仓计算!N30)),0)</f>
        <v/>
      </c>
      <c r="M30" s="11" t="n">
        <v>0</v>
      </c>
      <c r="N30" s="11" t="n">
        <v>0</v>
      </c>
      <c r="O30" s="9" t="n"/>
      <c r="P30" s="9" t="n"/>
      <c r="Q30" s="9" t="n"/>
      <c r="R30" s="10">
        <f>IFERROR(过程品仓计算!L30+IF(过程品仓计算!O30="",0,过程品仓计算!O30)+IF(过程品仓计算!P30="",0,过程品仓计算!P30)+IF(过程品仓计算!Q30="",0,过程品仓计算!Q30),0)</f>
        <v/>
      </c>
      <c r="S30" s="10">
        <f>IFERROR(CEILING(过程品仓计算!R30/MAX(产品SKU!M14,1),1)*参数设置!$C$13/MAX(参数设置!$C$14,1)/参数设置!$C$18*参数设置!$C$21,0)</f>
        <v/>
      </c>
    </row>
    <row r="31" ht="20" customHeight="1">
      <c r="A31" s="19" t="inlineStr">
        <is>
          <t>烘干后暂存 小计</t>
        </is>
      </c>
      <c r="R31" s="10">
        <f>SUM(R19:R30)</f>
        <v/>
      </c>
      <c r="S31" s="10">
        <f>SUM(S19:S30)</f>
        <v/>
      </c>
    </row>
    <row r="32" ht="22" customHeight="1">
      <c r="A32" s="7" t="inlineStr">
        <is>
          <t>【磨粉后暂存】</t>
        </is>
      </c>
    </row>
    <row r="33" ht="20" customHeight="1">
      <c r="A33" s="13" t="n">
        <v>1</v>
      </c>
      <c r="B33" s="16" t="inlineStr">
        <is>
          <t>磨粉后暂存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IFERROR(MAX(过程品仓计算!H33,过程品仓计算!K33)/MAX(1-IF(过程品仓计算!M33="",0,过程品仓计算!M33),0.01)*(1+IF(过程品仓计算!N33="",0,过程品仓计算!N33)),0)</f>
        <v/>
      </c>
      <c r="M33" s="11" t="n">
        <v>0</v>
      </c>
      <c r="N33" s="11" t="n">
        <v>0</v>
      </c>
      <c r="O33" s="9" t="n"/>
      <c r="P33" s="9" t="n"/>
      <c r="Q33" s="9" t="n"/>
      <c r="R33" s="10">
        <f>IFERROR(过程品仓计算!L33+IF(过程品仓计算!O33="",0,过程品仓计算!O33)+IF(过程品仓计算!P33="",0,过程品仓计算!P33)+IF(过程品仓计算!Q33="",0,过程品仓计算!Q33),0)</f>
        <v/>
      </c>
      <c r="S33" s="10">
        <f>IFERROR(CEILING(过程品仓计算!R33/MAX(产品SKU!M3,1),1)*参数设置!$C$13/MAX(参数设置!$C$14,1)/参数设置!$C$18*参数设置!$C$21,0)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磨粉后暂存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IFERROR(MAX(过程品仓计算!H34,过程品仓计算!K34)/MAX(1-IF(过程品仓计算!M34="",0,过程品仓计算!M34),0.01)*(1+IF(过程品仓计算!N34="",0,过程品仓计算!N34)),0)</f>
        <v/>
      </c>
      <c r="M34" s="11" t="n">
        <v>0</v>
      </c>
      <c r="N34" s="11" t="n">
        <v>0</v>
      </c>
      <c r="O34" s="9" t="n"/>
      <c r="P34" s="9" t="n"/>
      <c r="Q34" s="9" t="n"/>
      <c r="R34" s="10">
        <f>IFERROR(过程品仓计算!L34+IF(过程品仓计算!O34="",0,过程品仓计算!O34)+IF(过程品仓计算!P34="",0,过程品仓计算!P34)+IF(过程品仓计算!Q34="",0,过程品仓计算!Q34),0)</f>
        <v/>
      </c>
      <c r="S34" s="10">
        <f>IFERROR(CEILING(过程品仓计算!R34/MAX(产品SKU!M4,1),1)*参数设置!$C$13/MAX(参数设置!$C$14,1)/参数设置!$C$18*参数设置!$C$21,0)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磨粉后暂存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IFERROR(MAX(过程品仓计算!H35,过程品仓计算!K35)/MAX(1-IF(过程品仓计算!M35="",0,过程品仓计算!M35),0.01)*(1+IF(过程品仓计算!N35="",0,过程品仓计算!N35)),0)</f>
        <v/>
      </c>
      <c r="M35" s="11" t="n">
        <v>0</v>
      </c>
      <c r="N35" s="11" t="n">
        <v>0</v>
      </c>
      <c r="O35" s="9" t="n"/>
      <c r="P35" s="9" t="n"/>
      <c r="Q35" s="9" t="n"/>
      <c r="R35" s="10">
        <f>IFERROR(过程品仓计算!L35+IF(过程品仓计算!O35="",0,过程品仓计算!O35)+IF(过程品仓计算!P35="",0,过程品仓计算!P35)+IF(过程品仓计算!Q35="",0,过程品仓计算!Q35),0)</f>
        <v/>
      </c>
      <c r="S35" s="10">
        <f>IFERROR(CEILING(过程品仓计算!R35/MAX(产品SKU!M5,1),1)*参数设置!$C$13/MAX(参数设置!$C$14,1)/参数设置!$C$18*参数设置!$C$21,0)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磨粉后暂存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IFERROR(MAX(过程品仓计算!H36,过程品仓计算!K36)/MAX(1-IF(过程品仓计算!M36="",0,过程品仓计算!M36),0.01)*(1+IF(过程品仓计算!N36="",0,过程品仓计算!N36)),0)</f>
        <v/>
      </c>
      <c r="M36" s="11" t="n">
        <v>0</v>
      </c>
      <c r="N36" s="11" t="n">
        <v>0</v>
      </c>
      <c r="O36" s="9" t="n"/>
      <c r="P36" s="9" t="n"/>
      <c r="Q36" s="9" t="n"/>
      <c r="R36" s="10">
        <f>IFERROR(过程品仓计算!L36+IF(过程品仓计算!O36="",0,过程品仓计算!O36)+IF(过程品仓计算!P36="",0,过程品仓计算!P36)+IF(过程品仓计算!Q36="",0,过程品仓计算!Q36),0)</f>
        <v/>
      </c>
      <c r="S36" s="10">
        <f>IFERROR(CEILING(过程品仓计算!R36/MAX(产品SKU!M6,1),1)*参数设置!$C$13/MAX(参数设置!$C$14,1)/参数设置!$C$18*参数设置!$C$21,0)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磨粉后暂存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IFERROR(MAX(过程品仓计算!H37,过程品仓计算!K37)/MAX(1-IF(过程品仓计算!M37="",0,过程品仓计算!M37),0.01)*(1+IF(过程品仓计算!N37="",0,过程品仓计算!N37)),0)</f>
        <v/>
      </c>
      <c r="M37" s="11" t="n">
        <v>0</v>
      </c>
      <c r="N37" s="11" t="n">
        <v>0</v>
      </c>
      <c r="O37" s="9" t="n"/>
      <c r="P37" s="9" t="n"/>
      <c r="Q37" s="9" t="n"/>
      <c r="R37" s="10">
        <f>IFERROR(过程品仓计算!L37+IF(过程品仓计算!O37="",0,过程品仓计算!O37)+IF(过程品仓计算!P37="",0,过程品仓计算!P37)+IF(过程品仓计算!Q37="",0,过程品仓计算!Q37),0)</f>
        <v/>
      </c>
      <c r="S37" s="10">
        <f>IFERROR(CEILING(过程品仓计算!R37/MAX(产品SKU!M7,1),1)*参数设置!$C$13/MAX(参数设置!$C$14,1)/参数设置!$C$18*参数设置!$C$21,0)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磨粉后暂存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IFERROR(MAX(过程品仓计算!H38,过程品仓计算!K38)/MAX(1-IF(过程品仓计算!M38="",0,过程品仓计算!M38),0.01)*(1+IF(过程品仓计算!N38="",0,过程品仓计算!N38)),0)</f>
        <v/>
      </c>
      <c r="M38" s="11" t="n">
        <v>0</v>
      </c>
      <c r="N38" s="11" t="n">
        <v>0</v>
      </c>
      <c r="O38" s="9" t="n"/>
      <c r="P38" s="9" t="n"/>
      <c r="Q38" s="9" t="n"/>
      <c r="R38" s="10">
        <f>IFERROR(过程品仓计算!L38+IF(过程品仓计算!O38="",0,过程品仓计算!O38)+IF(过程品仓计算!P38="",0,过程品仓计算!P38)+IF(过程品仓计算!Q38="",0,过程品仓计算!Q38),0)</f>
        <v/>
      </c>
      <c r="S38" s="10">
        <f>IFERROR(CEILING(过程品仓计算!R38/MAX(产品SKU!M8,1),1)*参数设置!$C$13/MAX(参数设置!$C$14,1)/参数设置!$C$18*参数设置!$C$21,0)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磨粉后暂存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IFERROR(MAX(过程品仓计算!H39,过程品仓计算!K39)/MAX(1-IF(过程品仓计算!M39="",0,过程品仓计算!M39),0.01)*(1+IF(过程品仓计算!N39="",0,过程品仓计算!N39)),0)</f>
        <v/>
      </c>
      <c r="M39" s="11" t="n">
        <v>0</v>
      </c>
      <c r="N39" s="11" t="n">
        <v>0</v>
      </c>
      <c r="O39" s="9" t="n"/>
      <c r="P39" s="9" t="n"/>
      <c r="Q39" s="9" t="n"/>
      <c r="R39" s="10">
        <f>IFERROR(过程品仓计算!L39+IF(过程品仓计算!O39="",0,过程品仓计算!O39)+IF(过程品仓计算!P39="",0,过程品仓计算!P39)+IF(过程品仓计算!Q39="",0,过程品仓计算!Q39),0)</f>
        <v/>
      </c>
      <c r="S39" s="10">
        <f>IFERROR(CEILING(过程品仓计算!R39/MAX(产品SKU!M9,1),1)*参数设置!$C$13/MAX(参数设置!$C$14,1)/参数设置!$C$18*参数设置!$C$21,0)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磨粉后暂存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IFERROR(MAX(过程品仓计算!H40,过程品仓计算!K40)/MAX(1-IF(过程品仓计算!M40="",0,过程品仓计算!M40),0.01)*(1+IF(过程品仓计算!N40="",0,过程品仓计算!N40)),0)</f>
        <v/>
      </c>
      <c r="M40" s="11" t="n">
        <v>0</v>
      </c>
      <c r="N40" s="11" t="n">
        <v>0</v>
      </c>
      <c r="O40" s="9" t="n"/>
      <c r="P40" s="9" t="n"/>
      <c r="Q40" s="9" t="n"/>
      <c r="R40" s="10">
        <f>IFERROR(过程品仓计算!L40+IF(过程品仓计算!O40="",0,过程品仓计算!O40)+IF(过程品仓计算!P40="",0,过程品仓计算!P40)+IF(过程品仓计算!Q40="",0,过程品仓计算!Q40),0)</f>
        <v/>
      </c>
      <c r="S40" s="10">
        <f>IFERROR(CEILING(过程品仓计算!R40/MAX(产品SKU!M10,1),1)*参数设置!$C$13/MAX(参数设置!$C$14,1)/参数设置!$C$18*参数设置!$C$21,0)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磨粉后暂存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IFERROR(MAX(过程品仓计算!H41,过程品仓计算!K41)/MAX(1-IF(过程品仓计算!M41="",0,过程品仓计算!M41),0.01)*(1+IF(过程品仓计算!N41="",0,过程品仓计算!N41)),0)</f>
        <v/>
      </c>
      <c r="M41" s="11" t="n">
        <v>0</v>
      </c>
      <c r="N41" s="11" t="n">
        <v>0</v>
      </c>
      <c r="O41" s="9" t="n"/>
      <c r="P41" s="9" t="n"/>
      <c r="Q41" s="9" t="n"/>
      <c r="R41" s="10">
        <f>IFERROR(过程品仓计算!L41+IF(过程品仓计算!O41="",0,过程品仓计算!O41)+IF(过程品仓计算!P41="",0,过程品仓计算!P41)+IF(过程品仓计算!Q41="",0,过程品仓计算!Q41),0)</f>
        <v/>
      </c>
      <c r="S41" s="10">
        <f>IFERROR(CEILING(过程品仓计算!R41/MAX(产品SKU!M11,1),1)*参数设置!$C$13/MAX(参数设置!$C$14,1)/参数设置!$C$18*参数设置!$C$21,0)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磨粉后暂存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IFERROR(MAX(过程品仓计算!H42,过程品仓计算!K42)/MAX(1-IF(过程品仓计算!M42="",0,过程品仓计算!M42),0.01)*(1+IF(过程品仓计算!N42="",0,过程品仓计算!N42)),0)</f>
        <v/>
      </c>
      <c r="M42" s="11" t="n">
        <v>0</v>
      </c>
      <c r="N42" s="11" t="n">
        <v>0</v>
      </c>
      <c r="O42" s="9" t="n"/>
      <c r="P42" s="9" t="n"/>
      <c r="Q42" s="9" t="n"/>
      <c r="R42" s="10">
        <f>IFERROR(过程品仓计算!L42+IF(过程品仓计算!O42="",0,过程品仓计算!O42)+IF(过程品仓计算!P42="",0,过程品仓计算!P42)+IF(过程品仓计算!Q42="",0,过程品仓计算!Q42),0)</f>
        <v/>
      </c>
      <c r="S42" s="10">
        <f>IFERROR(CEILING(过程品仓计算!R42/MAX(产品SKU!M12,1),1)*参数设置!$C$13/MAX(参数设置!$C$14,1)/参数设置!$C$18*参数设置!$C$21,0)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磨粉后暂存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IFERROR(MAX(过程品仓计算!H43,过程品仓计算!K43)/MAX(1-IF(过程品仓计算!M43="",0,过程品仓计算!M43),0.01)*(1+IF(过程品仓计算!N43="",0,过程品仓计算!N43)),0)</f>
        <v/>
      </c>
      <c r="M43" s="11" t="n">
        <v>0</v>
      </c>
      <c r="N43" s="11" t="n">
        <v>0</v>
      </c>
      <c r="O43" s="9" t="n"/>
      <c r="P43" s="9" t="n"/>
      <c r="Q43" s="9" t="n"/>
      <c r="R43" s="10">
        <f>IFERROR(过程品仓计算!L43+IF(过程品仓计算!O43="",0,过程品仓计算!O43)+IF(过程品仓计算!P43="",0,过程品仓计算!P43)+IF(过程品仓计算!Q43="",0,过程品仓计算!Q43),0)</f>
        <v/>
      </c>
      <c r="S43" s="10">
        <f>IFERROR(CEILING(过程品仓计算!R43/MAX(产品SKU!M13,1),1)*参数设置!$C$13/MAX(参数设置!$C$14,1)/参数设置!$C$18*参数设置!$C$21,0)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磨粉后暂存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IFERROR(MAX(过程品仓计算!H44,过程品仓计算!K44)/MAX(1-IF(过程品仓计算!M44="",0,过程品仓计算!M44),0.01)*(1+IF(过程品仓计算!N44="",0,过程品仓计算!N44)),0)</f>
        <v/>
      </c>
      <c r="M44" s="11" t="n">
        <v>0</v>
      </c>
      <c r="N44" s="11" t="n">
        <v>0</v>
      </c>
      <c r="O44" s="9" t="n"/>
      <c r="P44" s="9" t="n"/>
      <c r="Q44" s="9" t="n"/>
      <c r="R44" s="10">
        <f>IFERROR(过程品仓计算!L44+IF(过程品仓计算!O44="",0,过程品仓计算!O44)+IF(过程品仓计算!P44="",0,过程品仓计算!P44)+IF(过程品仓计算!Q44="",0,过程品仓计算!Q44),0)</f>
        <v/>
      </c>
      <c r="S44" s="10">
        <f>IFERROR(CEILING(过程品仓计算!R44/MAX(产品SKU!M14,1),1)*参数设置!$C$13/MAX(参数设置!$C$14,1)/参数设置!$C$18*参数设置!$C$21,0)</f>
        <v/>
      </c>
    </row>
    <row r="45" ht="20" customHeight="1">
      <c r="A45" s="19" t="inlineStr">
        <is>
          <t>磨粉后暂存 小计</t>
        </is>
      </c>
      <c r="R45" s="10">
        <f>SUM(R33:R44)</f>
        <v/>
      </c>
      <c r="S45" s="10">
        <f>SUM(S33:S44)</f>
        <v/>
      </c>
    </row>
    <row r="46" ht="22" customHeight="1">
      <c r="A46" s="7" t="inlineStr">
        <is>
          <t>【低温碳化后暂存】</t>
        </is>
      </c>
    </row>
    <row r="47" ht="20" customHeight="1">
      <c r="A47" s="13" t="n">
        <v>1</v>
      </c>
      <c r="B47" s="16" t="inlineStr">
        <is>
          <t>低温碳化后暂存</t>
        </is>
      </c>
      <c r="C47" s="16">
        <f>IFERROR(产品SKU!B3,"")</f>
        <v/>
      </c>
      <c r="D47" s="16">
        <f>IFERROR(产品SKU!D3,"")</f>
        <v/>
      </c>
      <c r="E47" s="10">
        <f>IFERROR(产品SKU!G3,0)</f>
        <v/>
      </c>
      <c r="F47" s="10">
        <f>IFERROR(过程品仓计算!E47/参数设置!$C$5,0)</f>
        <v/>
      </c>
      <c r="G47" s="10">
        <f>IFERROR(产品SKU!R3,0)</f>
        <v/>
      </c>
      <c r="H47" s="10">
        <f>IFERROR(过程品仓计算!F47*过程品仓计算!G47,0)</f>
        <v/>
      </c>
      <c r="I47" s="9" t="n"/>
      <c r="J47" s="9" t="n">
        <v>2</v>
      </c>
      <c r="K47" s="10">
        <f>IFERROR(IF(过程品仓计算!I47="",0,过程品仓计算!I47)*IF(过程品仓计算!J47="",0,过程品仓计算!J47),0)</f>
        <v/>
      </c>
      <c r="L47" s="10">
        <f>IFERROR(MAX(过程品仓计算!H47,过程品仓计算!K47)/MAX(1-IF(过程品仓计算!M47="",0,过程品仓计算!M47),0.01)*(1+IF(过程品仓计算!N47="",0,过程品仓计算!N47)),0)</f>
        <v/>
      </c>
      <c r="M47" s="11" t="n">
        <v>0</v>
      </c>
      <c r="N47" s="11" t="n">
        <v>0</v>
      </c>
      <c r="O47" s="9" t="n"/>
      <c r="P47" s="9" t="n"/>
      <c r="Q47" s="9" t="n"/>
      <c r="R47" s="10">
        <f>IFERROR(过程品仓计算!L47+IF(过程品仓计算!O47="",0,过程品仓计算!O47)+IF(过程品仓计算!P47="",0,过程品仓计算!P47)+IF(过程品仓计算!Q47="",0,过程品仓计算!Q47),0)</f>
        <v/>
      </c>
      <c r="S47" s="10">
        <f>IFERROR(CEILING(过程品仓计算!R47/MAX(产品SKU!M3,1),1)*参数设置!$C$13/MAX(参数设置!$C$14,1)/参数设置!$C$18*参数设置!$C$21,0)</f>
        <v/>
      </c>
    </row>
    <row r="48" ht="20" customHeight="1">
      <c r="A48" s="13" t="n">
        <v>2</v>
      </c>
      <c r="B48" s="16" t="inlineStr">
        <is>
          <t>低温碳化后暂存</t>
        </is>
      </c>
      <c r="C48" s="16">
        <f>IFERROR(产品SKU!B4,"")</f>
        <v/>
      </c>
      <c r="D48" s="16">
        <f>IFERROR(产品SKU!D4,"")</f>
        <v/>
      </c>
      <c r="E48" s="10">
        <f>IFERROR(产品SKU!G4,0)</f>
        <v/>
      </c>
      <c r="F48" s="10">
        <f>IFERROR(过程品仓计算!E48/参数设置!$C$5,0)</f>
        <v/>
      </c>
      <c r="G48" s="10">
        <f>IFERROR(产品SKU!R4,0)</f>
        <v/>
      </c>
      <c r="H48" s="10">
        <f>IFERROR(过程品仓计算!F48*过程品仓计算!G48,0)</f>
        <v/>
      </c>
      <c r="I48" s="9" t="n"/>
      <c r="J48" s="9" t="n">
        <v>2</v>
      </c>
      <c r="K48" s="10">
        <f>IFERROR(IF(过程品仓计算!I48="",0,过程品仓计算!I48)*IF(过程品仓计算!J48="",0,过程品仓计算!J48),0)</f>
        <v/>
      </c>
      <c r="L48" s="10">
        <f>IFERROR(MAX(过程品仓计算!H48,过程品仓计算!K48)/MAX(1-IF(过程品仓计算!M48="",0,过程品仓计算!M48),0.01)*(1+IF(过程品仓计算!N48="",0,过程品仓计算!N48)),0)</f>
        <v/>
      </c>
      <c r="M48" s="11" t="n">
        <v>0</v>
      </c>
      <c r="N48" s="11" t="n">
        <v>0</v>
      </c>
      <c r="O48" s="9" t="n"/>
      <c r="P48" s="9" t="n"/>
      <c r="Q48" s="9" t="n"/>
      <c r="R48" s="10">
        <f>IFERROR(过程品仓计算!L48+IF(过程品仓计算!O48="",0,过程品仓计算!O48)+IF(过程品仓计算!P48="",0,过程品仓计算!P48)+IF(过程品仓计算!Q48="",0,过程品仓计算!Q48),0)</f>
        <v/>
      </c>
      <c r="S48" s="10">
        <f>IFERROR(CEILING(过程品仓计算!R48/MAX(产品SKU!M4,1),1)*参数设置!$C$13/MAX(参数设置!$C$14,1)/参数设置!$C$18*参数设置!$C$21,0)</f>
        <v/>
      </c>
    </row>
    <row r="49" ht="20" customHeight="1">
      <c r="A49" s="13" t="n">
        <v>3</v>
      </c>
      <c r="B49" s="16" t="inlineStr">
        <is>
          <t>低温碳化后暂存</t>
        </is>
      </c>
      <c r="C49" s="16">
        <f>IFERROR(产品SKU!B5,"")</f>
        <v/>
      </c>
      <c r="D49" s="16">
        <f>IFERROR(产品SKU!D5,"")</f>
        <v/>
      </c>
      <c r="E49" s="10">
        <f>IFERROR(产品SKU!G5,0)</f>
        <v/>
      </c>
      <c r="F49" s="10">
        <f>IFERROR(过程品仓计算!E49/参数设置!$C$5,0)</f>
        <v/>
      </c>
      <c r="G49" s="10">
        <f>IFERROR(产品SKU!R5,0)</f>
        <v/>
      </c>
      <c r="H49" s="10">
        <f>IFERROR(过程品仓计算!F49*过程品仓计算!G49,0)</f>
        <v/>
      </c>
      <c r="I49" s="9" t="n"/>
      <c r="J49" s="9" t="n">
        <v>2</v>
      </c>
      <c r="K49" s="10">
        <f>IFERROR(IF(过程品仓计算!I49="",0,过程品仓计算!I49)*IF(过程品仓计算!J49="",0,过程品仓计算!J49),0)</f>
        <v/>
      </c>
      <c r="L49" s="10">
        <f>IFERROR(MAX(过程品仓计算!H49,过程品仓计算!K49)/MAX(1-IF(过程品仓计算!M49="",0,过程品仓计算!M49),0.01)*(1+IF(过程品仓计算!N49="",0,过程品仓计算!N49)),0)</f>
        <v/>
      </c>
      <c r="M49" s="11" t="n">
        <v>0</v>
      </c>
      <c r="N49" s="11" t="n">
        <v>0</v>
      </c>
      <c r="O49" s="9" t="n"/>
      <c r="P49" s="9" t="n"/>
      <c r="Q49" s="9" t="n"/>
      <c r="R49" s="10">
        <f>IFERROR(过程品仓计算!L49+IF(过程品仓计算!O49="",0,过程品仓计算!O49)+IF(过程品仓计算!P49="",0,过程品仓计算!P49)+IF(过程品仓计算!Q49="",0,过程品仓计算!Q49),0)</f>
        <v/>
      </c>
      <c r="S49" s="10">
        <f>IFERROR(CEILING(过程品仓计算!R49/MAX(产品SKU!M5,1),1)*参数设置!$C$13/MAX(参数设置!$C$14,1)/参数设置!$C$18*参数设置!$C$21,0)</f>
        <v/>
      </c>
    </row>
    <row r="50" ht="20" customHeight="1">
      <c r="A50" s="13" t="n">
        <v>4</v>
      </c>
      <c r="B50" s="16" t="inlineStr">
        <is>
          <t>低温碳化后暂存</t>
        </is>
      </c>
      <c r="C50" s="16">
        <f>IFERROR(产品SKU!B6,"")</f>
        <v/>
      </c>
      <c r="D50" s="16">
        <f>IFERROR(产品SKU!D6,"")</f>
        <v/>
      </c>
      <c r="E50" s="10">
        <f>IFERROR(产品SKU!G6,0)</f>
        <v/>
      </c>
      <c r="F50" s="10">
        <f>IFERROR(过程品仓计算!E50/参数设置!$C$5,0)</f>
        <v/>
      </c>
      <c r="G50" s="10">
        <f>IFERROR(产品SKU!R6,0)</f>
        <v/>
      </c>
      <c r="H50" s="10">
        <f>IFERROR(过程品仓计算!F50*过程品仓计算!G50,0)</f>
        <v/>
      </c>
      <c r="I50" s="9" t="n"/>
      <c r="J50" s="9" t="n">
        <v>2</v>
      </c>
      <c r="K50" s="10">
        <f>IFERROR(IF(过程品仓计算!I50="",0,过程品仓计算!I50)*IF(过程品仓计算!J50="",0,过程品仓计算!J50),0)</f>
        <v/>
      </c>
      <c r="L50" s="10">
        <f>IFERROR(MAX(过程品仓计算!H50,过程品仓计算!K50)/MAX(1-IF(过程品仓计算!M50="",0,过程品仓计算!M50),0.01)*(1+IF(过程品仓计算!N50="",0,过程品仓计算!N50)),0)</f>
        <v/>
      </c>
      <c r="M50" s="11" t="n">
        <v>0</v>
      </c>
      <c r="N50" s="11" t="n">
        <v>0</v>
      </c>
      <c r="O50" s="9" t="n"/>
      <c r="P50" s="9" t="n"/>
      <c r="Q50" s="9" t="n"/>
      <c r="R50" s="10">
        <f>IFERROR(过程品仓计算!L50+IF(过程品仓计算!O50="",0,过程品仓计算!O50)+IF(过程品仓计算!P50="",0,过程品仓计算!P50)+IF(过程品仓计算!Q50="",0,过程品仓计算!Q50),0)</f>
        <v/>
      </c>
      <c r="S50" s="10">
        <f>IFERROR(CEILING(过程品仓计算!R50/MAX(产品SKU!M6,1),1)*参数设置!$C$13/MAX(参数设置!$C$14,1)/参数设置!$C$18*参数设置!$C$21,0)</f>
        <v/>
      </c>
    </row>
    <row r="51" ht="20" customHeight="1">
      <c r="A51" s="13" t="n">
        <v>5</v>
      </c>
      <c r="B51" s="16" t="inlineStr">
        <is>
          <t>低温碳化后暂存</t>
        </is>
      </c>
      <c r="C51" s="16">
        <f>IFERROR(产品SKU!B7,"")</f>
        <v/>
      </c>
      <c r="D51" s="16">
        <f>IFERROR(产品SKU!D7,"")</f>
        <v/>
      </c>
      <c r="E51" s="10">
        <f>IFERROR(产品SKU!G7,0)</f>
        <v/>
      </c>
      <c r="F51" s="10">
        <f>IFERROR(过程品仓计算!E51/参数设置!$C$5,0)</f>
        <v/>
      </c>
      <c r="G51" s="10">
        <f>IFERROR(产品SKU!R7,0)</f>
        <v/>
      </c>
      <c r="H51" s="10">
        <f>IFERROR(过程品仓计算!F51*过程品仓计算!G51,0)</f>
        <v/>
      </c>
      <c r="I51" s="9" t="n"/>
      <c r="J51" s="9" t="n">
        <v>2</v>
      </c>
      <c r="K51" s="10">
        <f>IFERROR(IF(过程品仓计算!I51="",0,过程品仓计算!I51)*IF(过程品仓计算!J51="",0,过程品仓计算!J51),0)</f>
        <v/>
      </c>
      <c r="L51" s="10">
        <f>IFERROR(MAX(过程品仓计算!H51,过程品仓计算!K51)/MAX(1-IF(过程品仓计算!M51="",0,过程品仓计算!M51),0.01)*(1+IF(过程品仓计算!N51="",0,过程品仓计算!N51)),0)</f>
        <v/>
      </c>
      <c r="M51" s="11" t="n">
        <v>0</v>
      </c>
      <c r="N51" s="11" t="n">
        <v>0</v>
      </c>
      <c r="O51" s="9" t="n"/>
      <c r="P51" s="9" t="n"/>
      <c r="Q51" s="9" t="n"/>
      <c r="R51" s="10">
        <f>IFERROR(过程品仓计算!L51+IF(过程品仓计算!O51="",0,过程品仓计算!O51)+IF(过程品仓计算!P51="",0,过程品仓计算!P51)+IF(过程品仓计算!Q51="",0,过程品仓计算!Q51),0)</f>
        <v/>
      </c>
      <c r="S51" s="10">
        <f>IFERROR(CEILING(过程品仓计算!R51/MAX(产品SKU!M7,1),1)*参数设置!$C$13/MAX(参数设置!$C$14,1)/参数设置!$C$18*参数设置!$C$21,0)</f>
        <v/>
      </c>
    </row>
    <row r="52" ht="20" customHeight="1">
      <c r="A52" s="13" t="n">
        <v>6</v>
      </c>
      <c r="B52" s="16" t="inlineStr">
        <is>
          <t>低温碳化后暂存</t>
        </is>
      </c>
      <c r="C52" s="16">
        <f>IFERROR(产品SKU!B8,"")</f>
        <v/>
      </c>
      <c r="D52" s="16">
        <f>IFERROR(产品SKU!D8,"")</f>
        <v/>
      </c>
      <c r="E52" s="10">
        <f>IFERROR(产品SKU!G8,0)</f>
        <v/>
      </c>
      <c r="F52" s="10">
        <f>IFERROR(过程品仓计算!E52/参数设置!$C$5,0)</f>
        <v/>
      </c>
      <c r="G52" s="10">
        <f>IFERROR(产品SKU!R8,0)</f>
        <v/>
      </c>
      <c r="H52" s="10">
        <f>IFERROR(过程品仓计算!F52*过程品仓计算!G52,0)</f>
        <v/>
      </c>
      <c r="I52" s="9" t="n"/>
      <c r="J52" s="9" t="n">
        <v>2</v>
      </c>
      <c r="K52" s="10">
        <f>IFERROR(IF(过程品仓计算!I52="",0,过程品仓计算!I52)*IF(过程品仓计算!J52="",0,过程品仓计算!J52),0)</f>
        <v/>
      </c>
      <c r="L52" s="10">
        <f>IFERROR(MAX(过程品仓计算!H52,过程品仓计算!K52)/MAX(1-IF(过程品仓计算!M52="",0,过程品仓计算!M52),0.01)*(1+IF(过程品仓计算!N52="",0,过程品仓计算!N52)),0)</f>
        <v/>
      </c>
      <c r="M52" s="11" t="n">
        <v>0</v>
      </c>
      <c r="N52" s="11" t="n">
        <v>0</v>
      </c>
      <c r="O52" s="9" t="n"/>
      <c r="P52" s="9" t="n"/>
      <c r="Q52" s="9" t="n"/>
      <c r="R52" s="10">
        <f>IFERROR(过程品仓计算!L52+IF(过程品仓计算!O52="",0,过程品仓计算!O52)+IF(过程品仓计算!P52="",0,过程品仓计算!P52)+IF(过程品仓计算!Q52="",0,过程品仓计算!Q52),0)</f>
        <v/>
      </c>
      <c r="S52" s="10">
        <f>IFERROR(CEILING(过程品仓计算!R52/MAX(产品SKU!M8,1),1)*参数设置!$C$13/MAX(参数设置!$C$14,1)/参数设置!$C$18*参数设置!$C$21,0)</f>
        <v/>
      </c>
    </row>
    <row r="53" ht="20" customHeight="1">
      <c r="A53" s="13" t="n">
        <v>7</v>
      </c>
      <c r="B53" s="16" t="inlineStr">
        <is>
          <t>低温碳化后暂存</t>
        </is>
      </c>
      <c r="C53" s="16">
        <f>IFERROR(产品SKU!B9,"")</f>
        <v/>
      </c>
      <c r="D53" s="16">
        <f>IFERROR(产品SKU!D9,"")</f>
        <v/>
      </c>
      <c r="E53" s="10">
        <f>IFERROR(产品SKU!G9,0)</f>
        <v/>
      </c>
      <c r="F53" s="10">
        <f>IFERROR(过程品仓计算!E53/参数设置!$C$5,0)</f>
        <v/>
      </c>
      <c r="G53" s="10">
        <f>IFERROR(产品SKU!R9,0)</f>
        <v/>
      </c>
      <c r="H53" s="10">
        <f>IFERROR(过程品仓计算!F53*过程品仓计算!G53,0)</f>
        <v/>
      </c>
      <c r="I53" s="9" t="n"/>
      <c r="J53" s="9" t="n">
        <v>2</v>
      </c>
      <c r="K53" s="10">
        <f>IFERROR(IF(过程品仓计算!I53="",0,过程品仓计算!I53)*IF(过程品仓计算!J53="",0,过程品仓计算!J53),0)</f>
        <v/>
      </c>
      <c r="L53" s="10">
        <f>IFERROR(MAX(过程品仓计算!H53,过程品仓计算!K53)/MAX(1-IF(过程品仓计算!M53="",0,过程品仓计算!M53),0.01)*(1+IF(过程品仓计算!N53="",0,过程品仓计算!N53)),0)</f>
        <v/>
      </c>
      <c r="M53" s="11" t="n">
        <v>0</v>
      </c>
      <c r="N53" s="11" t="n">
        <v>0</v>
      </c>
      <c r="O53" s="9" t="n"/>
      <c r="P53" s="9" t="n"/>
      <c r="Q53" s="9" t="n"/>
      <c r="R53" s="10">
        <f>IFERROR(过程品仓计算!L53+IF(过程品仓计算!O53="",0,过程品仓计算!O53)+IF(过程品仓计算!P53="",0,过程品仓计算!P53)+IF(过程品仓计算!Q53="",0,过程品仓计算!Q53),0)</f>
        <v/>
      </c>
      <c r="S53" s="10">
        <f>IFERROR(CEILING(过程品仓计算!R53/MAX(产品SKU!M9,1),1)*参数设置!$C$13/MAX(参数设置!$C$14,1)/参数设置!$C$18*参数设置!$C$21,0)</f>
        <v/>
      </c>
    </row>
    <row r="54" ht="20" customHeight="1">
      <c r="A54" s="13" t="n">
        <v>8</v>
      </c>
      <c r="B54" s="16" t="inlineStr">
        <is>
          <t>低温碳化后暂存</t>
        </is>
      </c>
      <c r="C54" s="16">
        <f>IFERROR(产品SKU!B10,"")</f>
        <v/>
      </c>
      <c r="D54" s="16">
        <f>IFERROR(产品SKU!D10,"")</f>
        <v/>
      </c>
      <c r="E54" s="10">
        <f>IFERROR(产品SKU!G10,0)</f>
        <v/>
      </c>
      <c r="F54" s="10">
        <f>IFERROR(过程品仓计算!E54/参数设置!$C$5,0)</f>
        <v/>
      </c>
      <c r="G54" s="10">
        <f>IFERROR(产品SKU!R10,0)</f>
        <v/>
      </c>
      <c r="H54" s="10">
        <f>IFERROR(过程品仓计算!F54*过程品仓计算!G54,0)</f>
        <v/>
      </c>
      <c r="I54" s="9" t="n"/>
      <c r="J54" s="9" t="n">
        <v>2</v>
      </c>
      <c r="K54" s="10">
        <f>IFERROR(IF(过程品仓计算!I54="",0,过程品仓计算!I54)*IF(过程品仓计算!J54="",0,过程品仓计算!J54),0)</f>
        <v/>
      </c>
      <c r="L54" s="10">
        <f>IFERROR(MAX(过程品仓计算!H54,过程品仓计算!K54)/MAX(1-IF(过程品仓计算!M54="",0,过程品仓计算!M54),0.01)*(1+IF(过程品仓计算!N54="",0,过程品仓计算!N54)),0)</f>
        <v/>
      </c>
      <c r="M54" s="11" t="n">
        <v>0</v>
      </c>
      <c r="N54" s="11" t="n">
        <v>0</v>
      </c>
      <c r="O54" s="9" t="n"/>
      <c r="P54" s="9" t="n"/>
      <c r="Q54" s="9" t="n"/>
      <c r="R54" s="10">
        <f>IFERROR(过程品仓计算!L54+IF(过程品仓计算!O54="",0,过程品仓计算!O54)+IF(过程品仓计算!P54="",0,过程品仓计算!P54)+IF(过程品仓计算!Q54="",0,过程品仓计算!Q54),0)</f>
        <v/>
      </c>
      <c r="S54" s="10">
        <f>IFERROR(CEILING(过程品仓计算!R54/MAX(产品SKU!M10,1),1)*参数设置!$C$13/MAX(参数设置!$C$14,1)/参数设置!$C$18*参数设置!$C$21,0)</f>
        <v/>
      </c>
    </row>
    <row r="55" ht="20" customHeight="1">
      <c r="A55" s="13" t="n">
        <v>9</v>
      </c>
      <c r="B55" s="16" t="inlineStr">
        <is>
          <t>低温碳化后暂存</t>
        </is>
      </c>
      <c r="C55" s="16">
        <f>IFERROR(产品SKU!B11,"")</f>
        <v/>
      </c>
      <c r="D55" s="16">
        <f>IFERROR(产品SKU!D11,"")</f>
        <v/>
      </c>
      <c r="E55" s="10">
        <f>IFERROR(产品SKU!G11,0)</f>
        <v/>
      </c>
      <c r="F55" s="10">
        <f>IFERROR(过程品仓计算!E55/参数设置!$C$5,0)</f>
        <v/>
      </c>
      <c r="G55" s="10">
        <f>IFERROR(产品SKU!R11,0)</f>
        <v/>
      </c>
      <c r="H55" s="10">
        <f>IFERROR(过程品仓计算!F55*过程品仓计算!G55,0)</f>
        <v/>
      </c>
      <c r="I55" s="9" t="n"/>
      <c r="J55" s="9" t="n">
        <v>2</v>
      </c>
      <c r="K55" s="10">
        <f>IFERROR(IF(过程品仓计算!I55="",0,过程品仓计算!I55)*IF(过程品仓计算!J55="",0,过程品仓计算!J55),0)</f>
        <v/>
      </c>
      <c r="L55" s="10">
        <f>IFERROR(MAX(过程品仓计算!H55,过程品仓计算!K55)/MAX(1-IF(过程品仓计算!M55="",0,过程品仓计算!M55),0.01)*(1+IF(过程品仓计算!N55="",0,过程品仓计算!N55)),0)</f>
        <v/>
      </c>
      <c r="M55" s="11" t="n">
        <v>0</v>
      </c>
      <c r="N55" s="11" t="n">
        <v>0</v>
      </c>
      <c r="O55" s="9" t="n"/>
      <c r="P55" s="9" t="n"/>
      <c r="Q55" s="9" t="n"/>
      <c r="R55" s="10">
        <f>IFERROR(过程品仓计算!L55+IF(过程品仓计算!O55="",0,过程品仓计算!O55)+IF(过程品仓计算!P55="",0,过程品仓计算!P55)+IF(过程品仓计算!Q55="",0,过程品仓计算!Q55),0)</f>
        <v/>
      </c>
      <c r="S55" s="10">
        <f>IFERROR(CEILING(过程品仓计算!R55/MAX(产品SKU!M11,1),1)*参数设置!$C$13/MAX(参数设置!$C$14,1)/参数设置!$C$18*参数设置!$C$21,0)</f>
        <v/>
      </c>
    </row>
    <row r="56" ht="20" customHeight="1">
      <c r="A56" s="13" t="n">
        <v>10</v>
      </c>
      <c r="B56" s="16" t="inlineStr">
        <is>
          <t>低温碳化后暂存</t>
        </is>
      </c>
      <c r="C56" s="16">
        <f>IFERROR(产品SKU!B12,"")</f>
        <v/>
      </c>
      <c r="D56" s="16">
        <f>IFERROR(产品SKU!D12,"")</f>
        <v/>
      </c>
      <c r="E56" s="10">
        <f>IFERROR(产品SKU!G12,0)</f>
        <v/>
      </c>
      <c r="F56" s="10">
        <f>IFERROR(过程品仓计算!E56/参数设置!$C$5,0)</f>
        <v/>
      </c>
      <c r="G56" s="10">
        <f>IFERROR(产品SKU!R12,0)</f>
        <v/>
      </c>
      <c r="H56" s="10">
        <f>IFERROR(过程品仓计算!F56*过程品仓计算!G56,0)</f>
        <v/>
      </c>
      <c r="I56" s="9" t="n"/>
      <c r="J56" s="9" t="n">
        <v>2</v>
      </c>
      <c r="K56" s="10">
        <f>IFERROR(IF(过程品仓计算!I56="",0,过程品仓计算!I56)*IF(过程品仓计算!J56="",0,过程品仓计算!J56),0)</f>
        <v/>
      </c>
      <c r="L56" s="10">
        <f>IFERROR(MAX(过程品仓计算!H56,过程品仓计算!K56)/MAX(1-IF(过程品仓计算!M56="",0,过程品仓计算!M56),0.01)*(1+IF(过程品仓计算!N56="",0,过程品仓计算!N56)),0)</f>
        <v/>
      </c>
      <c r="M56" s="11" t="n">
        <v>0</v>
      </c>
      <c r="N56" s="11" t="n">
        <v>0</v>
      </c>
      <c r="O56" s="9" t="n"/>
      <c r="P56" s="9" t="n"/>
      <c r="Q56" s="9" t="n"/>
      <c r="R56" s="10">
        <f>IFERROR(过程品仓计算!L56+IF(过程品仓计算!O56="",0,过程品仓计算!O56)+IF(过程品仓计算!P56="",0,过程品仓计算!P56)+IF(过程品仓计算!Q56="",0,过程品仓计算!Q56),0)</f>
        <v/>
      </c>
      <c r="S56" s="10">
        <f>IFERROR(CEILING(过程品仓计算!R56/MAX(产品SKU!M12,1),1)*参数设置!$C$13/MAX(参数设置!$C$14,1)/参数设置!$C$18*参数设置!$C$21,0)</f>
        <v/>
      </c>
    </row>
    <row r="57" ht="20" customHeight="1">
      <c r="A57" s="13" t="n">
        <v>11</v>
      </c>
      <c r="B57" s="16" t="inlineStr">
        <is>
          <t>低温碳化后暂存</t>
        </is>
      </c>
      <c r="C57" s="16">
        <f>IFERROR(产品SKU!B13,"")</f>
        <v/>
      </c>
      <c r="D57" s="16">
        <f>IFERROR(产品SKU!D13,"")</f>
        <v/>
      </c>
      <c r="E57" s="10">
        <f>IFERROR(产品SKU!G13,0)</f>
        <v/>
      </c>
      <c r="F57" s="10">
        <f>IFERROR(过程品仓计算!E57/参数设置!$C$5,0)</f>
        <v/>
      </c>
      <c r="G57" s="10">
        <f>IFERROR(产品SKU!R13,0)</f>
        <v/>
      </c>
      <c r="H57" s="10">
        <f>IFERROR(过程品仓计算!F57*过程品仓计算!G57,0)</f>
        <v/>
      </c>
      <c r="I57" s="9" t="n"/>
      <c r="J57" s="9" t="n">
        <v>2</v>
      </c>
      <c r="K57" s="10">
        <f>IFERROR(IF(过程品仓计算!I57="",0,过程品仓计算!I57)*IF(过程品仓计算!J57="",0,过程品仓计算!J57),0)</f>
        <v/>
      </c>
      <c r="L57" s="10">
        <f>IFERROR(MAX(过程品仓计算!H57,过程品仓计算!K57)/MAX(1-IF(过程品仓计算!M57="",0,过程品仓计算!M57),0.01)*(1+IF(过程品仓计算!N57="",0,过程品仓计算!N57)),0)</f>
        <v/>
      </c>
      <c r="M57" s="11" t="n">
        <v>0</v>
      </c>
      <c r="N57" s="11" t="n">
        <v>0</v>
      </c>
      <c r="O57" s="9" t="n"/>
      <c r="P57" s="9" t="n"/>
      <c r="Q57" s="9" t="n"/>
      <c r="R57" s="10">
        <f>IFERROR(过程品仓计算!L57+IF(过程品仓计算!O57="",0,过程品仓计算!O57)+IF(过程品仓计算!P57="",0,过程品仓计算!P57)+IF(过程品仓计算!Q57="",0,过程品仓计算!Q57),0)</f>
        <v/>
      </c>
      <c r="S57" s="10">
        <f>IFERROR(CEILING(过程品仓计算!R57/MAX(产品SKU!M13,1),1)*参数设置!$C$13/MAX(参数设置!$C$14,1)/参数设置!$C$18*参数设置!$C$21,0)</f>
        <v/>
      </c>
    </row>
    <row r="58" ht="20" customHeight="1">
      <c r="A58" s="13" t="n">
        <v>12</v>
      </c>
      <c r="B58" s="16" t="inlineStr">
        <is>
          <t>低温碳化后暂存</t>
        </is>
      </c>
      <c r="C58" s="16">
        <f>IFERROR(产品SKU!B14,"")</f>
        <v/>
      </c>
      <c r="D58" s="16">
        <f>IFERROR(产品SKU!D14,"")</f>
        <v/>
      </c>
      <c r="E58" s="10">
        <f>IFERROR(产品SKU!G14,0)</f>
        <v/>
      </c>
      <c r="F58" s="10">
        <f>IFERROR(过程品仓计算!E58/参数设置!$C$5,0)</f>
        <v/>
      </c>
      <c r="G58" s="10">
        <f>IFERROR(产品SKU!R14,0)</f>
        <v/>
      </c>
      <c r="H58" s="10">
        <f>IFERROR(过程品仓计算!F58*过程品仓计算!G58,0)</f>
        <v/>
      </c>
      <c r="I58" s="9" t="n"/>
      <c r="J58" s="9" t="n">
        <v>2</v>
      </c>
      <c r="K58" s="10">
        <f>IFERROR(IF(过程品仓计算!I58="",0,过程品仓计算!I58)*IF(过程品仓计算!J58="",0,过程品仓计算!J58),0)</f>
        <v/>
      </c>
      <c r="L58" s="10">
        <f>IFERROR(MAX(过程品仓计算!H58,过程品仓计算!K58)/MAX(1-IF(过程品仓计算!M58="",0,过程品仓计算!M58),0.01)*(1+IF(过程品仓计算!N58="",0,过程品仓计算!N58)),0)</f>
        <v/>
      </c>
      <c r="M58" s="11" t="n">
        <v>0</v>
      </c>
      <c r="N58" s="11" t="n">
        <v>0</v>
      </c>
      <c r="O58" s="9" t="n"/>
      <c r="P58" s="9" t="n"/>
      <c r="Q58" s="9" t="n"/>
      <c r="R58" s="10">
        <f>IFERROR(过程品仓计算!L58+IF(过程品仓计算!O58="",0,过程品仓计算!O58)+IF(过程品仓计算!P58="",0,过程品仓计算!P58)+IF(过程品仓计算!Q58="",0,过程品仓计算!Q58),0)</f>
        <v/>
      </c>
      <c r="S58" s="10">
        <f>IFERROR(CEILING(过程品仓计算!R58/MAX(产品SKU!M14,1),1)*参数设置!$C$13/MAX(参数设置!$C$14,1)/参数设置!$C$18*参数设置!$C$21,0)</f>
        <v/>
      </c>
    </row>
    <row r="59" ht="20" customHeight="1">
      <c r="A59" s="19" t="inlineStr">
        <is>
          <t>低温碳化后暂存 小计</t>
        </is>
      </c>
      <c r="R59" s="10">
        <f>SUM(R47:R58)</f>
        <v/>
      </c>
      <c r="S59" s="10">
        <f>SUM(S47:S58)</f>
        <v/>
      </c>
    </row>
    <row r="60" ht="22" customHeight="1">
      <c r="A60" s="7" t="inlineStr">
        <is>
          <t>【石墨化后暂存】</t>
        </is>
      </c>
    </row>
    <row r="61" ht="20" customHeight="1">
      <c r="A61" s="13" t="n">
        <v>1</v>
      </c>
      <c r="B61" s="16" t="inlineStr">
        <is>
          <t>石墨化后暂存</t>
        </is>
      </c>
      <c r="C61" s="16">
        <f>IFERROR(产品SKU!B3,"")</f>
        <v/>
      </c>
      <c r="D61" s="16">
        <f>IFERROR(产品SKU!D3,"")</f>
        <v/>
      </c>
      <c r="E61" s="10">
        <f>IFERROR(产品SKU!G3,0)</f>
        <v/>
      </c>
      <c r="F61" s="10">
        <f>IFERROR(过程品仓计算!E61/参数设置!$C$5,0)</f>
        <v/>
      </c>
      <c r="G61" s="10">
        <f>IFERROR(产品SKU!S3,0)</f>
        <v/>
      </c>
      <c r="H61" s="10">
        <f>IFERROR(过程品仓计算!F61*过程品仓计算!G61,0)</f>
        <v/>
      </c>
      <c r="I61" s="9" t="n"/>
      <c r="J61" s="9" t="n">
        <v>2</v>
      </c>
      <c r="K61" s="10">
        <f>IFERROR(IF(过程品仓计算!I61="",0,过程品仓计算!I61)*IF(过程品仓计算!J61="",0,过程品仓计算!J61),0)</f>
        <v/>
      </c>
      <c r="L61" s="10">
        <f>IFERROR(MAX(过程品仓计算!H61,过程品仓计算!K61)/MAX(1-IF(过程品仓计算!M61="",0,过程品仓计算!M61),0.01)*(1+IF(过程品仓计算!N61="",0,过程品仓计算!N61)),0)</f>
        <v/>
      </c>
      <c r="M61" s="10">
        <f>参数设置!$C$28</f>
        <v/>
      </c>
      <c r="N61" s="10">
        <f>参数设置!$C$29</f>
        <v/>
      </c>
      <c r="O61" s="9" t="n"/>
      <c r="P61" s="9" t="n"/>
      <c r="Q61" s="9" t="n"/>
      <c r="R61" s="10">
        <f>IFERROR(过程品仓计算!L61+IF(过程品仓计算!O61="",0,过程品仓计算!O61)+IF(过程品仓计算!P61="",0,过程品仓计算!P61)+IF(过程品仓计算!Q61="",0,过程品仓计算!Q61),0)</f>
        <v/>
      </c>
      <c r="S61" s="10">
        <f>IFERROR(CEILING(过程品仓计算!R61/MAX(产品SKU!M3,1),1)*参数设置!$C$13/MAX(参数设置!$C$14,1)/参数设置!$C$18*参数设置!$C$21,0)</f>
        <v/>
      </c>
    </row>
    <row r="62" ht="20" customHeight="1">
      <c r="A62" s="13" t="n">
        <v>2</v>
      </c>
      <c r="B62" s="16" t="inlineStr">
        <is>
          <t>石墨化后暂存</t>
        </is>
      </c>
      <c r="C62" s="16">
        <f>IFERROR(产品SKU!B4,"")</f>
        <v/>
      </c>
      <c r="D62" s="16">
        <f>IFERROR(产品SKU!D4,"")</f>
        <v/>
      </c>
      <c r="E62" s="10">
        <f>IFERROR(产品SKU!G4,0)</f>
        <v/>
      </c>
      <c r="F62" s="10">
        <f>IFERROR(过程品仓计算!E62/参数设置!$C$5,0)</f>
        <v/>
      </c>
      <c r="G62" s="10">
        <f>IFERROR(产品SKU!S4,0)</f>
        <v/>
      </c>
      <c r="H62" s="10">
        <f>IFERROR(过程品仓计算!F62*过程品仓计算!G62,0)</f>
        <v/>
      </c>
      <c r="I62" s="9" t="n"/>
      <c r="J62" s="9" t="n">
        <v>2</v>
      </c>
      <c r="K62" s="10">
        <f>IFERROR(IF(过程品仓计算!I62="",0,过程品仓计算!I62)*IF(过程品仓计算!J62="",0,过程品仓计算!J62),0)</f>
        <v/>
      </c>
      <c r="L62" s="10">
        <f>IFERROR(MAX(过程品仓计算!H62,过程品仓计算!K62)/MAX(1-IF(过程品仓计算!M62="",0,过程品仓计算!M62),0.01)*(1+IF(过程品仓计算!N62="",0,过程品仓计算!N62)),0)</f>
        <v/>
      </c>
      <c r="M62" s="10">
        <f>参数设置!$C$28</f>
        <v/>
      </c>
      <c r="N62" s="10">
        <f>参数设置!$C$29</f>
        <v/>
      </c>
      <c r="O62" s="9" t="n"/>
      <c r="P62" s="9" t="n"/>
      <c r="Q62" s="9" t="n"/>
      <c r="R62" s="10">
        <f>IFERROR(过程品仓计算!L62+IF(过程品仓计算!O62="",0,过程品仓计算!O62)+IF(过程品仓计算!P62="",0,过程品仓计算!P62)+IF(过程品仓计算!Q62="",0,过程品仓计算!Q62),0)</f>
        <v/>
      </c>
      <c r="S62" s="10">
        <f>IFERROR(CEILING(过程品仓计算!R62/MAX(产品SKU!M4,1),1)*参数设置!$C$13/MAX(参数设置!$C$14,1)/参数设置!$C$18*参数设置!$C$21,0)</f>
        <v/>
      </c>
    </row>
    <row r="63" ht="20" customHeight="1">
      <c r="A63" s="13" t="n">
        <v>3</v>
      </c>
      <c r="B63" s="16" t="inlineStr">
        <is>
          <t>石墨化后暂存</t>
        </is>
      </c>
      <c r="C63" s="16">
        <f>IFERROR(产品SKU!B5,"")</f>
        <v/>
      </c>
      <c r="D63" s="16">
        <f>IFERROR(产品SKU!D5,"")</f>
        <v/>
      </c>
      <c r="E63" s="10">
        <f>IFERROR(产品SKU!G5,0)</f>
        <v/>
      </c>
      <c r="F63" s="10">
        <f>IFERROR(过程品仓计算!E63/参数设置!$C$5,0)</f>
        <v/>
      </c>
      <c r="G63" s="10">
        <f>IFERROR(产品SKU!S5,0)</f>
        <v/>
      </c>
      <c r="H63" s="10">
        <f>IFERROR(过程品仓计算!F63*过程品仓计算!G63,0)</f>
        <v/>
      </c>
      <c r="I63" s="9" t="n"/>
      <c r="J63" s="9" t="n">
        <v>2</v>
      </c>
      <c r="K63" s="10">
        <f>IFERROR(IF(过程品仓计算!I63="",0,过程品仓计算!I63)*IF(过程品仓计算!J63="",0,过程品仓计算!J63),0)</f>
        <v/>
      </c>
      <c r="L63" s="10">
        <f>IFERROR(MAX(过程品仓计算!H63,过程品仓计算!K63)/MAX(1-IF(过程品仓计算!M63="",0,过程品仓计算!M63),0.01)*(1+IF(过程品仓计算!N63="",0,过程品仓计算!N63)),0)</f>
        <v/>
      </c>
      <c r="M63" s="10">
        <f>参数设置!$C$28</f>
        <v/>
      </c>
      <c r="N63" s="10">
        <f>参数设置!$C$29</f>
        <v/>
      </c>
      <c r="O63" s="9" t="n"/>
      <c r="P63" s="9" t="n"/>
      <c r="Q63" s="9" t="n"/>
      <c r="R63" s="10">
        <f>IFERROR(过程品仓计算!L63+IF(过程品仓计算!O63="",0,过程品仓计算!O63)+IF(过程品仓计算!P63="",0,过程品仓计算!P63)+IF(过程品仓计算!Q63="",0,过程品仓计算!Q63),0)</f>
        <v/>
      </c>
      <c r="S63" s="10">
        <f>IFERROR(CEILING(过程品仓计算!R63/MAX(产品SKU!M5,1),1)*参数设置!$C$13/MAX(参数设置!$C$14,1)/参数设置!$C$18*参数设置!$C$21,0)</f>
        <v/>
      </c>
    </row>
    <row r="64" ht="20" customHeight="1">
      <c r="A64" s="13" t="n">
        <v>4</v>
      </c>
      <c r="B64" s="16" t="inlineStr">
        <is>
          <t>石墨化后暂存</t>
        </is>
      </c>
      <c r="C64" s="16">
        <f>IFERROR(产品SKU!B6,"")</f>
        <v/>
      </c>
      <c r="D64" s="16">
        <f>IFERROR(产品SKU!D6,"")</f>
        <v/>
      </c>
      <c r="E64" s="10">
        <f>IFERROR(产品SKU!G6,0)</f>
        <v/>
      </c>
      <c r="F64" s="10">
        <f>IFERROR(过程品仓计算!E64/参数设置!$C$5,0)</f>
        <v/>
      </c>
      <c r="G64" s="10">
        <f>IFERROR(产品SKU!S6,0)</f>
        <v/>
      </c>
      <c r="H64" s="10">
        <f>IFERROR(过程品仓计算!F64*过程品仓计算!G64,0)</f>
        <v/>
      </c>
      <c r="I64" s="9" t="n"/>
      <c r="J64" s="9" t="n">
        <v>2</v>
      </c>
      <c r="K64" s="10">
        <f>IFERROR(IF(过程品仓计算!I64="",0,过程品仓计算!I64)*IF(过程品仓计算!J64="",0,过程品仓计算!J64),0)</f>
        <v/>
      </c>
      <c r="L64" s="10">
        <f>IFERROR(MAX(过程品仓计算!H64,过程品仓计算!K64)/MAX(1-IF(过程品仓计算!M64="",0,过程品仓计算!M64),0.01)*(1+IF(过程品仓计算!N64="",0,过程品仓计算!N64)),0)</f>
        <v/>
      </c>
      <c r="M64" s="10">
        <f>参数设置!$C$28</f>
        <v/>
      </c>
      <c r="N64" s="10">
        <f>参数设置!$C$29</f>
        <v/>
      </c>
      <c r="O64" s="9" t="n"/>
      <c r="P64" s="9" t="n"/>
      <c r="Q64" s="9" t="n"/>
      <c r="R64" s="10">
        <f>IFERROR(过程品仓计算!L64+IF(过程品仓计算!O64="",0,过程品仓计算!O64)+IF(过程品仓计算!P64="",0,过程品仓计算!P64)+IF(过程品仓计算!Q64="",0,过程品仓计算!Q64),0)</f>
        <v/>
      </c>
      <c r="S64" s="10">
        <f>IFERROR(CEILING(过程品仓计算!R64/MAX(产品SKU!M6,1),1)*参数设置!$C$13/MAX(参数设置!$C$14,1)/参数设置!$C$18*参数设置!$C$21,0)</f>
        <v/>
      </c>
    </row>
    <row r="65" ht="20" customHeight="1">
      <c r="A65" s="13" t="n">
        <v>5</v>
      </c>
      <c r="B65" s="16" t="inlineStr">
        <is>
          <t>石墨化后暂存</t>
        </is>
      </c>
      <c r="C65" s="16">
        <f>IFERROR(产品SKU!B7,"")</f>
        <v/>
      </c>
      <c r="D65" s="16">
        <f>IFERROR(产品SKU!D7,"")</f>
        <v/>
      </c>
      <c r="E65" s="10">
        <f>IFERROR(产品SKU!G7,0)</f>
        <v/>
      </c>
      <c r="F65" s="10">
        <f>IFERROR(过程品仓计算!E65/参数设置!$C$5,0)</f>
        <v/>
      </c>
      <c r="G65" s="10">
        <f>IFERROR(产品SKU!S7,0)</f>
        <v/>
      </c>
      <c r="H65" s="10">
        <f>IFERROR(过程品仓计算!F65*过程品仓计算!G65,0)</f>
        <v/>
      </c>
      <c r="I65" s="9" t="n"/>
      <c r="J65" s="9" t="n">
        <v>2</v>
      </c>
      <c r="K65" s="10">
        <f>IFERROR(IF(过程品仓计算!I65="",0,过程品仓计算!I65)*IF(过程品仓计算!J65="",0,过程品仓计算!J65),0)</f>
        <v/>
      </c>
      <c r="L65" s="10">
        <f>IFERROR(MAX(过程品仓计算!H65,过程品仓计算!K65)/MAX(1-IF(过程品仓计算!M65="",0,过程品仓计算!M65),0.01)*(1+IF(过程品仓计算!N65="",0,过程品仓计算!N65)),0)</f>
        <v/>
      </c>
      <c r="M65" s="10">
        <f>参数设置!$C$28</f>
        <v/>
      </c>
      <c r="N65" s="10">
        <f>参数设置!$C$29</f>
        <v/>
      </c>
      <c r="O65" s="9" t="n"/>
      <c r="P65" s="9" t="n"/>
      <c r="Q65" s="9" t="n"/>
      <c r="R65" s="10">
        <f>IFERROR(过程品仓计算!L65+IF(过程品仓计算!O65="",0,过程品仓计算!O65)+IF(过程品仓计算!P65="",0,过程品仓计算!P65)+IF(过程品仓计算!Q65="",0,过程品仓计算!Q65),0)</f>
        <v/>
      </c>
      <c r="S65" s="10">
        <f>IFERROR(CEILING(过程品仓计算!R65/MAX(产品SKU!M7,1),1)*参数设置!$C$13/MAX(参数设置!$C$14,1)/参数设置!$C$18*参数设置!$C$21,0)</f>
        <v/>
      </c>
    </row>
    <row r="66" ht="20" customHeight="1">
      <c r="A66" s="13" t="n">
        <v>6</v>
      </c>
      <c r="B66" s="16" t="inlineStr">
        <is>
          <t>石墨化后暂存</t>
        </is>
      </c>
      <c r="C66" s="16">
        <f>IFERROR(产品SKU!B8,"")</f>
        <v/>
      </c>
      <c r="D66" s="16">
        <f>IFERROR(产品SKU!D8,"")</f>
        <v/>
      </c>
      <c r="E66" s="10">
        <f>IFERROR(产品SKU!G8,0)</f>
        <v/>
      </c>
      <c r="F66" s="10">
        <f>IFERROR(过程品仓计算!E66/参数设置!$C$5,0)</f>
        <v/>
      </c>
      <c r="G66" s="10">
        <f>IFERROR(产品SKU!S8,0)</f>
        <v/>
      </c>
      <c r="H66" s="10">
        <f>IFERROR(过程品仓计算!F66*过程品仓计算!G66,0)</f>
        <v/>
      </c>
      <c r="I66" s="9" t="n"/>
      <c r="J66" s="9" t="n">
        <v>2</v>
      </c>
      <c r="K66" s="10">
        <f>IFERROR(IF(过程品仓计算!I66="",0,过程品仓计算!I66)*IF(过程品仓计算!J66="",0,过程品仓计算!J66),0)</f>
        <v/>
      </c>
      <c r="L66" s="10">
        <f>IFERROR(MAX(过程品仓计算!H66,过程品仓计算!K66)/MAX(1-IF(过程品仓计算!M66="",0,过程品仓计算!M66),0.01)*(1+IF(过程品仓计算!N66="",0,过程品仓计算!N66)),0)</f>
        <v/>
      </c>
      <c r="M66" s="10">
        <f>参数设置!$C$28</f>
        <v/>
      </c>
      <c r="N66" s="10">
        <f>参数设置!$C$29</f>
        <v/>
      </c>
      <c r="O66" s="9" t="n"/>
      <c r="P66" s="9" t="n"/>
      <c r="Q66" s="9" t="n"/>
      <c r="R66" s="10">
        <f>IFERROR(过程品仓计算!L66+IF(过程品仓计算!O66="",0,过程品仓计算!O66)+IF(过程品仓计算!P66="",0,过程品仓计算!P66)+IF(过程品仓计算!Q66="",0,过程品仓计算!Q66),0)</f>
        <v/>
      </c>
      <c r="S66" s="10">
        <f>IFERROR(CEILING(过程品仓计算!R66/MAX(产品SKU!M8,1),1)*参数设置!$C$13/MAX(参数设置!$C$14,1)/参数设置!$C$18*参数设置!$C$21,0)</f>
        <v/>
      </c>
    </row>
    <row r="67" ht="20" customHeight="1">
      <c r="A67" s="13" t="n">
        <v>7</v>
      </c>
      <c r="B67" s="16" t="inlineStr">
        <is>
          <t>石墨化后暂存</t>
        </is>
      </c>
      <c r="C67" s="16">
        <f>IFERROR(产品SKU!B9,"")</f>
        <v/>
      </c>
      <c r="D67" s="16">
        <f>IFERROR(产品SKU!D9,"")</f>
        <v/>
      </c>
      <c r="E67" s="10">
        <f>IFERROR(产品SKU!G9,0)</f>
        <v/>
      </c>
      <c r="F67" s="10">
        <f>IFERROR(过程品仓计算!E67/参数设置!$C$5,0)</f>
        <v/>
      </c>
      <c r="G67" s="10">
        <f>IFERROR(产品SKU!S9,0)</f>
        <v/>
      </c>
      <c r="H67" s="10">
        <f>IFERROR(过程品仓计算!F67*过程品仓计算!G67,0)</f>
        <v/>
      </c>
      <c r="I67" s="9" t="n"/>
      <c r="J67" s="9" t="n">
        <v>2</v>
      </c>
      <c r="K67" s="10">
        <f>IFERROR(IF(过程品仓计算!I67="",0,过程品仓计算!I67)*IF(过程品仓计算!J67="",0,过程品仓计算!J67),0)</f>
        <v/>
      </c>
      <c r="L67" s="10">
        <f>IFERROR(MAX(过程品仓计算!H67,过程品仓计算!K67)/MAX(1-IF(过程品仓计算!M67="",0,过程品仓计算!M67),0.01)*(1+IF(过程品仓计算!N67="",0,过程品仓计算!N67)),0)</f>
        <v/>
      </c>
      <c r="M67" s="10">
        <f>参数设置!$C$28</f>
        <v/>
      </c>
      <c r="N67" s="10">
        <f>参数设置!$C$29</f>
        <v/>
      </c>
      <c r="O67" s="9" t="n"/>
      <c r="P67" s="9" t="n"/>
      <c r="Q67" s="9" t="n"/>
      <c r="R67" s="10">
        <f>IFERROR(过程品仓计算!L67+IF(过程品仓计算!O67="",0,过程品仓计算!O67)+IF(过程品仓计算!P67="",0,过程品仓计算!P67)+IF(过程品仓计算!Q67="",0,过程品仓计算!Q67),0)</f>
        <v/>
      </c>
      <c r="S67" s="10">
        <f>IFERROR(CEILING(过程品仓计算!R67/MAX(产品SKU!M9,1),1)*参数设置!$C$13/MAX(参数设置!$C$14,1)/参数设置!$C$18*参数设置!$C$21,0)</f>
        <v/>
      </c>
    </row>
    <row r="68" ht="20" customHeight="1">
      <c r="A68" s="13" t="n">
        <v>8</v>
      </c>
      <c r="B68" s="16" t="inlineStr">
        <is>
          <t>石墨化后暂存</t>
        </is>
      </c>
      <c r="C68" s="16">
        <f>IFERROR(产品SKU!B10,"")</f>
        <v/>
      </c>
      <c r="D68" s="16">
        <f>IFERROR(产品SKU!D10,"")</f>
        <v/>
      </c>
      <c r="E68" s="10">
        <f>IFERROR(产品SKU!G10,0)</f>
        <v/>
      </c>
      <c r="F68" s="10">
        <f>IFERROR(过程品仓计算!E68/参数设置!$C$5,0)</f>
        <v/>
      </c>
      <c r="G68" s="10">
        <f>IFERROR(产品SKU!S10,0)</f>
        <v/>
      </c>
      <c r="H68" s="10">
        <f>IFERROR(过程品仓计算!F68*过程品仓计算!G68,0)</f>
        <v/>
      </c>
      <c r="I68" s="9" t="n"/>
      <c r="J68" s="9" t="n">
        <v>2</v>
      </c>
      <c r="K68" s="10">
        <f>IFERROR(IF(过程品仓计算!I68="",0,过程品仓计算!I68)*IF(过程品仓计算!J68="",0,过程品仓计算!J68),0)</f>
        <v/>
      </c>
      <c r="L68" s="10">
        <f>IFERROR(MAX(过程品仓计算!H68,过程品仓计算!K68)/MAX(1-IF(过程品仓计算!M68="",0,过程品仓计算!M68),0.01)*(1+IF(过程品仓计算!N68="",0,过程品仓计算!N68)),0)</f>
        <v/>
      </c>
      <c r="M68" s="10">
        <f>参数设置!$C$28</f>
        <v/>
      </c>
      <c r="N68" s="10">
        <f>参数设置!$C$29</f>
        <v/>
      </c>
      <c r="O68" s="9" t="n"/>
      <c r="P68" s="9" t="n"/>
      <c r="Q68" s="9" t="n"/>
      <c r="R68" s="10">
        <f>IFERROR(过程品仓计算!L68+IF(过程品仓计算!O68="",0,过程品仓计算!O68)+IF(过程品仓计算!P68="",0,过程品仓计算!P68)+IF(过程品仓计算!Q68="",0,过程品仓计算!Q68),0)</f>
        <v/>
      </c>
      <c r="S68" s="10">
        <f>IFERROR(CEILING(过程品仓计算!R68/MAX(产品SKU!M10,1),1)*参数设置!$C$13/MAX(参数设置!$C$14,1)/参数设置!$C$18*参数设置!$C$21,0)</f>
        <v/>
      </c>
    </row>
    <row r="69" ht="20" customHeight="1">
      <c r="A69" s="13" t="n">
        <v>9</v>
      </c>
      <c r="B69" s="16" t="inlineStr">
        <is>
          <t>石墨化后暂存</t>
        </is>
      </c>
      <c r="C69" s="16">
        <f>IFERROR(产品SKU!B11,"")</f>
        <v/>
      </c>
      <c r="D69" s="16">
        <f>IFERROR(产品SKU!D11,"")</f>
        <v/>
      </c>
      <c r="E69" s="10">
        <f>IFERROR(产品SKU!G11,0)</f>
        <v/>
      </c>
      <c r="F69" s="10">
        <f>IFERROR(过程品仓计算!E69/参数设置!$C$5,0)</f>
        <v/>
      </c>
      <c r="G69" s="10">
        <f>IFERROR(产品SKU!S11,0)</f>
        <v/>
      </c>
      <c r="H69" s="10">
        <f>IFERROR(过程品仓计算!F69*过程品仓计算!G69,0)</f>
        <v/>
      </c>
      <c r="I69" s="9" t="n"/>
      <c r="J69" s="9" t="n">
        <v>2</v>
      </c>
      <c r="K69" s="10">
        <f>IFERROR(IF(过程品仓计算!I69="",0,过程品仓计算!I69)*IF(过程品仓计算!J69="",0,过程品仓计算!J69),0)</f>
        <v/>
      </c>
      <c r="L69" s="10">
        <f>IFERROR(MAX(过程品仓计算!H69,过程品仓计算!K69)/MAX(1-IF(过程品仓计算!M69="",0,过程品仓计算!M69),0.01)*(1+IF(过程品仓计算!N69="",0,过程品仓计算!N69)),0)</f>
        <v/>
      </c>
      <c r="M69" s="10">
        <f>参数设置!$C$28</f>
        <v/>
      </c>
      <c r="N69" s="10">
        <f>参数设置!$C$29</f>
        <v/>
      </c>
      <c r="O69" s="9" t="n"/>
      <c r="P69" s="9" t="n"/>
      <c r="Q69" s="9" t="n"/>
      <c r="R69" s="10">
        <f>IFERROR(过程品仓计算!L69+IF(过程品仓计算!O69="",0,过程品仓计算!O69)+IF(过程品仓计算!P69="",0,过程品仓计算!P69)+IF(过程品仓计算!Q69="",0,过程品仓计算!Q69),0)</f>
        <v/>
      </c>
      <c r="S69" s="10">
        <f>IFERROR(CEILING(过程品仓计算!R69/MAX(产品SKU!M11,1),1)*参数设置!$C$13/MAX(参数设置!$C$14,1)/参数设置!$C$18*参数设置!$C$21,0)</f>
        <v/>
      </c>
    </row>
    <row r="70" ht="20" customHeight="1">
      <c r="A70" s="13" t="n">
        <v>10</v>
      </c>
      <c r="B70" s="16" t="inlineStr">
        <is>
          <t>石墨化后暂存</t>
        </is>
      </c>
      <c r="C70" s="16">
        <f>IFERROR(产品SKU!B12,"")</f>
        <v/>
      </c>
      <c r="D70" s="16">
        <f>IFERROR(产品SKU!D12,"")</f>
        <v/>
      </c>
      <c r="E70" s="10">
        <f>IFERROR(产品SKU!G12,0)</f>
        <v/>
      </c>
      <c r="F70" s="10">
        <f>IFERROR(过程品仓计算!E70/参数设置!$C$5,0)</f>
        <v/>
      </c>
      <c r="G70" s="10">
        <f>IFERROR(产品SKU!S12,0)</f>
        <v/>
      </c>
      <c r="H70" s="10">
        <f>IFERROR(过程品仓计算!F70*过程品仓计算!G70,0)</f>
        <v/>
      </c>
      <c r="I70" s="9" t="n"/>
      <c r="J70" s="9" t="n">
        <v>2</v>
      </c>
      <c r="K70" s="10">
        <f>IFERROR(IF(过程品仓计算!I70="",0,过程品仓计算!I70)*IF(过程品仓计算!J70="",0,过程品仓计算!J70),0)</f>
        <v/>
      </c>
      <c r="L70" s="10">
        <f>IFERROR(MAX(过程品仓计算!H70,过程品仓计算!K70)/MAX(1-IF(过程品仓计算!M70="",0,过程品仓计算!M70),0.01)*(1+IF(过程品仓计算!N70="",0,过程品仓计算!N70)),0)</f>
        <v/>
      </c>
      <c r="M70" s="10">
        <f>参数设置!$C$28</f>
        <v/>
      </c>
      <c r="N70" s="10">
        <f>参数设置!$C$29</f>
        <v/>
      </c>
      <c r="O70" s="9" t="n"/>
      <c r="P70" s="9" t="n"/>
      <c r="Q70" s="9" t="n"/>
      <c r="R70" s="10">
        <f>IFERROR(过程品仓计算!L70+IF(过程品仓计算!O70="",0,过程品仓计算!O70)+IF(过程品仓计算!P70="",0,过程品仓计算!P70)+IF(过程品仓计算!Q70="",0,过程品仓计算!Q70),0)</f>
        <v/>
      </c>
      <c r="S70" s="10">
        <f>IFERROR(CEILING(过程品仓计算!R70/MAX(产品SKU!M12,1),1)*参数设置!$C$13/MAX(参数设置!$C$14,1)/参数设置!$C$18*参数设置!$C$21,0)</f>
        <v/>
      </c>
    </row>
    <row r="71" ht="20" customHeight="1">
      <c r="A71" s="13" t="n">
        <v>11</v>
      </c>
      <c r="B71" s="16" t="inlineStr">
        <is>
          <t>石墨化后暂存</t>
        </is>
      </c>
      <c r="C71" s="16">
        <f>IFERROR(产品SKU!B13,"")</f>
        <v/>
      </c>
      <c r="D71" s="16">
        <f>IFERROR(产品SKU!D13,"")</f>
        <v/>
      </c>
      <c r="E71" s="10">
        <f>IFERROR(产品SKU!G13,0)</f>
        <v/>
      </c>
      <c r="F71" s="10">
        <f>IFERROR(过程品仓计算!E71/参数设置!$C$5,0)</f>
        <v/>
      </c>
      <c r="G71" s="10">
        <f>IFERROR(产品SKU!S13,0)</f>
        <v/>
      </c>
      <c r="H71" s="10">
        <f>IFERROR(过程品仓计算!F71*过程品仓计算!G71,0)</f>
        <v/>
      </c>
      <c r="I71" s="9" t="n"/>
      <c r="J71" s="9" t="n">
        <v>2</v>
      </c>
      <c r="K71" s="10">
        <f>IFERROR(IF(过程品仓计算!I71="",0,过程品仓计算!I71)*IF(过程品仓计算!J71="",0,过程品仓计算!J71),0)</f>
        <v/>
      </c>
      <c r="L71" s="10">
        <f>IFERROR(MAX(过程品仓计算!H71,过程品仓计算!K71)/MAX(1-IF(过程品仓计算!M71="",0,过程品仓计算!M71),0.01)*(1+IF(过程品仓计算!N71="",0,过程品仓计算!N71)),0)</f>
        <v/>
      </c>
      <c r="M71" s="10">
        <f>参数设置!$C$28</f>
        <v/>
      </c>
      <c r="N71" s="10">
        <f>参数设置!$C$29</f>
        <v/>
      </c>
      <c r="O71" s="9" t="n"/>
      <c r="P71" s="9" t="n"/>
      <c r="Q71" s="9" t="n"/>
      <c r="R71" s="10">
        <f>IFERROR(过程品仓计算!L71+IF(过程品仓计算!O71="",0,过程品仓计算!O71)+IF(过程品仓计算!P71="",0,过程品仓计算!P71)+IF(过程品仓计算!Q71="",0,过程品仓计算!Q71),0)</f>
        <v/>
      </c>
      <c r="S71" s="10">
        <f>IFERROR(CEILING(过程品仓计算!R71/MAX(产品SKU!M13,1),1)*参数设置!$C$13/MAX(参数设置!$C$14,1)/参数设置!$C$18*参数设置!$C$21,0)</f>
        <v/>
      </c>
    </row>
    <row r="72" ht="20" customHeight="1">
      <c r="A72" s="13" t="n">
        <v>12</v>
      </c>
      <c r="B72" s="16" t="inlineStr">
        <is>
          <t>石墨化后暂存</t>
        </is>
      </c>
      <c r="C72" s="16">
        <f>IFERROR(产品SKU!B14,"")</f>
        <v/>
      </c>
      <c r="D72" s="16">
        <f>IFERROR(产品SKU!D14,"")</f>
        <v/>
      </c>
      <c r="E72" s="10">
        <f>IFERROR(产品SKU!G14,0)</f>
        <v/>
      </c>
      <c r="F72" s="10">
        <f>IFERROR(过程品仓计算!E72/参数设置!$C$5,0)</f>
        <v/>
      </c>
      <c r="G72" s="10">
        <f>IFERROR(产品SKU!S14,0)</f>
        <v/>
      </c>
      <c r="H72" s="10">
        <f>IFERROR(过程品仓计算!F72*过程品仓计算!G72,0)</f>
        <v/>
      </c>
      <c r="I72" s="9" t="n"/>
      <c r="J72" s="9" t="n">
        <v>2</v>
      </c>
      <c r="K72" s="10">
        <f>IFERROR(IF(过程品仓计算!I72="",0,过程品仓计算!I72)*IF(过程品仓计算!J72="",0,过程品仓计算!J72),0)</f>
        <v/>
      </c>
      <c r="L72" s="10">
        <f>IFERROR(MAX(过程品仓计算!H72,过程品仓计算!K72)/MAX(1-IF(过程品仓计算!M72="",0,过程品仓计算!M72),0.01)*(1+IF(过程品仓计算!N72="",0,过程品仓计算!N72)),0)</f>
        <v/>
      </c>
      <c r="M72" s="10">
        <f>参数设置!$C$28</f>
        <v/>
      </c>
      <c r="N72" s="10">
        <f>参数设置!$C$29</f>
        <v/>
      </c>
      <c r="O72" s="9" t="n"/>
      <c r="P72" s="9" t="n"/>
      <c r="Q72" s="9" t="n"/>
      <c r="R72" s="10">
        <f>IFERROR(过程品仓计算!L72+IF(过程品仓计算!O72="",0,过程品仓计算!O72)+IF(过程品仓计算!P72="",0,过程品仓计算!P72)+IF(过程品仓计算!Q72="",0,过程品仓计算!Q72),0)</f>
        <v/>
      </c>
      <c r="S72" s="10">
        <f>IFERROR(CEILING(过程品仓计算!R72/MAX(产品SKU!M14,1),1)*参数设置!$C$13/MAX(参数设置!$C$14,1)/参数设置!$C$18*参数设置!$C$21,0)</f>
        <v/>
      </c>
    </row>
    <row r="73" ht="20" customHeight="1">
      <c r="A73" s="19" t="inlineStr">
        <is>
          <t>石墨化后暂存 小计</t>
        </is>
      </c>
      <c r="R73" s="10">
        <f>SUM(R61:R72)</f>
        <v/>
      </c>
      <c r="S73" s="10">
        <f>SUM(S61:S72)</f>
        <v/>
      </c>
    </row>
    <row r="74" ht="22" customHeight="1">
      <c r="A74" s="7" t="inlineStr">
        <is>
          <t>【高温碳化后暂存】</t>
        </is>
      </c>
    </row>
    <row r="75" ht="20" customHeight="1">
      <c r="A75" s="13" t="n">
        <v>1</v>
      </c>
      <c r="B75" s="16" t="inlineStr">
        <is>
          <t>高温碳化后暂存</t>
        </is>
      </c>
      <c r="C75" s="16">
        <f>IFERROR(产品SKU!B3,"")</f>
        <v/>
      </c>
      <c r="D75" s="16">
        <f>IFERROR(产品SKU!D3,"")</f>
        <v/>
      </c>
      <c r="E75" s="10">
        <f>IFERROR(产品SKU!G3,0)</f>
        <v/>
      </c>
      <c r="F75" s="10">
        <f>IFERROR(过程品仓计算!E75/参数设置!$C$5,0)</f>
        <v/>
      </c>
      <c r="G75" s="10">
        <f>IFERROR(产品SKU!T3,0)</f>
        <v/>
      </c>
      <c r="H75" s="10">
        <f>IFERROR(过程品仓计算!F75*过程品仓计算!G75,0)</f>
        <v/>
      </c>
      <c r="I75" s="9" t="n"/>
      <c r="J75" s="9" t="n">
        <v>2</v>
      </c>
      <c r="K75" s="10">
        <f>IFERROR(IF(过程品仓计算!I75="",0,过程品仓计算!I75)*IF(过程品仓计算!J75="",0,过程品仓计算!J75),0)</f>
        <v/>
      </c>
      <c r="L75" s="10">
        <f>IFERROR(MAX(过程品仓计算!H75,过程品仓计算!K75)/MAX(1-IF(过程品仓计算!M75="",0,过程品仓计算!M75),0.01)*(1+IF(过程品仓计算!N75="",0,过程品仓计算!N75)),0)</f>
        <v/>
      </c>
      <c r="M75" s="11" t="n">
        <v>0</v>
      </c>
      <c r="N75" s="11" t="n">
        <v>0</v>
      </c>
      <c r="O75" s="9" t="n"/>
      <c r="P75" s="9" t="n"/>
      <c r="Q75" s="9" t="n"/>
      <c r="R75" s="10">
        <f>IFERROR(过程品仓计算!L75+IF(过程品仓计算!O75="",0,过程品仓计算!O75)+IF(过程品仓计算!P75="",0,过程品仓计算!P75)+IF(过程品仓计算!Q75="",0,过程品仓计算!Q75),0)</f>
        <v/>
      </c>
      <c r="S75" s="10">
        <f>IFERROR(CEILING(过程品仓计算!R75/MAX(产品SKU!M3,1),1)*参数设置!$C$13/MAX(参数设置!$C$14,1)/参数设置!$C$18*参数设置!$C$21,0)</f>
        <v/>
      </c>
    </row>
    <row r="76" ht="20" customHeight="1">
      <c r="A76" s="13" t="n">
        <v>2</v>
      </c>
      <c r="B76" s="16" t="inlineStr">
        <is>
          <t>高温碳化后暂存</t>
        </is>
      </c>
      <c r="C76" s="16">
        <f>IFERROR(产品SKU!B4,"")</f>
        <v/>
      </c>
      <c r="D76" s="16">
        <f>IFERROR(产品SKU!D4,"")</f>
        <v/>
      </c>
      <c r="E76" s="10">
        <f>IFERROR(产品SKU!G4,0)</f>
        <v/>
      </c>
      <c r="F76" s="10">
        <f>IFERROR(过程品仓计算!E76/参数设置!$C$5,0)</f>
        <v/>
      </c>
      <c r="G76" s="10">
        <f>IFERROR(产品SKU!T4,0)</f>
        <v/>
      </c>
      <c r="H76" s="10">
        <f>IFERROR(过程品仓计算!F76*过程品仓计算!G76,0)</f>
        <v/>
      </c>
      <c r="I76" s="9" t="n"/>
      <c r="J76" s="9" t="n">
        <v>2</v>
      </c>
      <c r="K76" s="10">
        <f>IFERROR(IF(过程品仓计算!I76="",0,过程品仓计算!I76)*IF(过程品仓计算!J76="",0,过程品仓计算!J76),0)</f>
        <v/>
      </c>
      <c r="L76" s="10">
        <f>IFERROR(MAX(过程品仓计算!H76,过程品仓计算!K76)/MAX(1-IF(过程品仓计算!M76="",0,过程品仓计算!M76),0.01)*(1+IF(过程品仓计算!N76="",0,过程品仓计算!N76)),0)</f>
        <v/>
      </c>
      <c r="M76" s="11" t="n">
        <v>0</v>
      </c>
      <c r="N76" s="11" t="n">
        <v>0</v>
      </c>
      <c r="O76" s="9" t="n"/>
      <c r="P76" s="9" t="n"/>
      <c r="Q76" s="9" t="n"/>
      <c r="R76" s="10">
        <f>IFERROR(过程品仓计算!L76+IF(过程品仓计算!O76="",0,过程品仓计算!O76)+IF(过程品仓计算!P76="",0,过程品仓计算!P76)+IF(过程品仓计算!Q76="",0,过程品仓计算!Q76),0)</f>
        <v/>
      </c>
      <c r="S76" s="10">
        <f>IFERROR(CEILING(过程品仓计算!R76/MAX(产品SKU!M4,1),1)*参数设置!$C$13/MAX(参数设置!$C$14,1)/参数设置!$C$18*参数设置!$C$21,0)</f>
        <v/>
      </c>
    </row>
    <row r="77" ht="20" customHeight="1">
      <c r="A77" s="13" t="n">
        <v>3</v>
      </c>
      <c r="B77" s="16" t="inlineStr">
        <is>
          <t>高温碳化后暂存</t>
        </is>
      </c>
      <c r="C77" s="16">
        <f>IFERROR(产品SKU!B5,"")</f>
        <v/>
      </c>
      <c r="D77" s="16">
        <f>IFERROR(产品SKU!D5,"")</f>
        <v/>
      </c>
      <c r="E77" s="10">
        <f>IFERROR(产品SKU!G5,0)</f>
        <v/>
      </c>
      <c r="F77" s="10">
        <f>IFERROR(过程品仓计算!E77/参数设置!$C$5,0)</f>
        <v/>
      </c>
      <c r="G77" s="10">
        <f>IFERROR(产品SKU!T5,0)</f>
        <v/>
      </c>
      <c r="H77" s="10">
        <f>IFERROR(过程品仓计算!F77*过程品仓计算!G77,0)</f>
        <v/>
      </c>
      <c r="I77" s="9" t="n"/>
      <c r="J77" s="9" t="n">
        <v>2</v>
      </c>
      <c r="K77" s="10">
        <f>IFERROR(IF(过程品仓计算!I77="",0,过程品仓计算!I77)*IF(过程品仓计算!J77="",0,过程品仓计算!J77),0)</f>
        <v/>
      </c>
      <c r="L77" s="10">
        <f>IFERROR(MAX(过程品仓计算!H77,过程品仓计算!K77)/MAX(1-IF(过程品仓计算!M77="",0,过程品仓计算!M77),0.01)*(1+IF(过程品仓计算!N77="",0,过程品仓计算!N77)),0)</f>
        <v/>
      </c>
      <c r="M77" s="11" t="n">
        <v>0</v>
      </c>
      <c r="N77" s="11" t="n">
        <v>0</v>
      </c>
      <c r="O77" s="9" t="n"/>
      <c r="P77" s="9" t="n"/>
      <c r="Q77" s="9" t="n"/>
      <c r="R77" s="10">
        <f>IFERROR(过程品仓计算!L77+IF(过程品仓计算!O77="",0,过程品仓计算!O77)+IF(过程品仓计算!P77="",0,过程品仓计算!P77)+IF(过程品仓计算!Q77="",0,过程品仓计算!Q77),0)</f>
        <v/>
      </c>
      <c r="S77" s="10">
        <f>IFERROR(CEILING(过程品仓计算!R77/MAX(产品SKU!M5,1),1)*参数设置!$C$13/MAX(参数设置!$C$14,1)/参数设置!$C$18*参数设置!$C$21,0)</f>
        <v/>
      </c>
    </row>
    <row r="78" ht="20" customHeight="1">
      <c r="A78" s="13" t="n">
        <v>4</v>
      </c>
      <c r="B78" s="16" t="inlineStr">
        <is>
          <t>高温碳化后暂存</t>
        </is>
      </c>
      <c r="C78" s="16">
        <f>IFERROR(产品SKU!B6,"")</f>
        <v/>
      </c>
      <c r="D78" s="16">
        <f>IFERROR(产品SKU!D6,"")</f>
        <v/>
      </c>
      <c r="E78" s="10">
        <f>IFERROR(产品SKU!G6,0)</f>
        <v/>
      </c>
      <c r="F78" s="10">
        <f>IFERROR(过程品仓计算!E78/参数设置!$C$5,0)</f>
        <v/>
      </c>
      <c r="G78" s="10">
        <f>IFERROR(产品SKU!T6,0)</f>
        <v/>
      </c>
      <c r="H78" s="10">
        <f>IFERROR(过程品仓计算!F78*过程品仓计算!G78,0)</f>
        <v/>
      </c>
      <c r="I78" s="9" t="n"/>
      <c r="J78" s="9" t="n">
        <v>2</v>
      </c>
      <c r="K78" s="10">
        <f>IFERROR(IF(过程品仓计算!I78="",0,过程品仓计算!I78)*IF(过程品仓计算!J78="",0,过程品仓计算!J78),0)</f>
        <v/>
      </c>
      <c r="L78" s="10">
        <f>IFERROR(MAX(过程品仓计算!H78,过程品仓计算!K78)/MAX(1-IF(过程品仓计算!M78="",0,过程品仓计算!M78),0.01)*(1+IF(过程品仓计算!N78="",0,过程品仓计算!N78)),0)</f>
        <v/>
      </c>
      <c r="M78" s="11" t="n">
        <v>0</v>
      </c>
      <c r="N78" s="11" t="n">
        <v>0</v>
      </c>
      <c r="O78" s="9" t="n"/>
      <c r="P78" s="9" t="n"/>
      <c r="Q78" s="9" t="n"/>
      <c r="R78" s="10">
        <f>IFERROR(过程品仓计算!L78+IF(过程品仓计算!O78="",0,过程品仓计算!O78)+IF(过程品仓计算!P78="",0,过程品仓计算!P78)+IF(过程品仓计算!Q78="",0,过程品仓计算!Q78),0)</f>
        <v/>
      </c>
      <c r="S78" s="10">
        <f>IFERROR(CEILING(过程品仓计算!R78/MAX(产品SKU!M6,1),1)*参数设置!$C$13/MAX(参数设置!$C$14,1)/参数设置!$C$18*参数设置!$C$21,0)</f>
        <v/>
      </c>
    </row>
    <row r="79" ht="20" customHeight="1">
      <c r="A79" s="13" t="n">
        <v>5</v>
      </c>
      <c r="B79" s="16" t="inlineStr">
        <is>
          <t>高温碳化后暂存</t>
        </is>
      </c>
      <c r="C79" s="16">
        <f>IFERROR(产品SKU!B7,"")</f>
        <v/>
      </c>
      <c r="D79" s="16">
        <f>IFERROR(产品SKU!D7,"")</f>
        <v/>
      </c>
      <c r="E79" s="10">
        <f>IFERROR(产品SKU!G7,0)</f>
        <v/>
      </c>
      <c r="F79" s="10">
        <f>IFERROR(过程品仓计算!E79/参数设置!$C$5,0)</f>
        <v/>
      </c>
      <c r="G79" s="10">
        <f>IFERROR(产品SKU!T7,0)</f>
        <v/>
      </c>
      <c r="H79" s="10">
        <f>IFERROR(过程品仓计算!F79*过程品仓计算!G79,0)</f>
        <v/>
      </c>
      <c r="I79" s="9" t="n"/>
      <c r="J79" s="9" t="n">
        <v>2</v>
      </c>
      <c r="K79" s="10">
        <f>IFERROR(IF(过程品仓计算!I79="",0,过程品仓计算!I79)*IF(过程品仓计算!J79="",0,过程品仓计算!J79),0)</f>
        <v/>
      </c>
      <c r="L79" s="10">
        <f>IFERROR(MAX(过程品仓计算!H79,过程品仓计算!K79)/MAX(1-IF(过程品仓计算!M79="",0,过程品仓计算!M79),0.01)*(1+IF(过程品仓计算!N79="",0,过程品仓计算!N79)),0)</f>
        <v/>
      </c>
      <c r="M79" s="11" t="n">
        <v>0</v>
      </c>
      <c r="N79" s="11" t="n">
        <v>0</v>
      </c>
      <c r="O79" s="9" t="n"/>
      <c r="P79" s="9" t="n"/>
      <c r="Q79" s="9" t="n"/>
      <c r="R79" s="10">
        <f>IFERROR(过程品仓计算!L79+IF(过程品仓计算!O79="",0,过程品仓计算!O79)+IF(过程品仓计算!P79="",0,过程品仓计算!P79)+IF(过程品仓计算!Q79="",0,过程品仓计算!Q79),0)</f>
        <v/>
      </c>
      <c r="S79" s="10">
        <f>IFERROR(CEILING(过程品仓计算!R79/MAX(产品SKU!M7,1),1)*参数设置!$C$13/MAX(参数设置!$C$14,1)/参数设置!$C$18*参数设置!$C$21,0)</f>
        <v/>
      </c>
    </row>
    <row r="80" ht="20" customHeight="1">
      <c r="A80" s="13" t="n">
        <v>6</v>
      </c>
      <c r="B80" s="16" t="inlineStr">
        <is>
          <t>高温碳化后暂存</t>
        </is>
      </c>
      <c r="C80" s="16">
        <f>IFERROR(产品SKU!B8,"")</f>
        <v/>
      </c>
      <c r="D80" s="16">
        <f>IFERROR(产品SKU!D8,"")</f>
        <v/>
      </c>
      <c r="E80" s="10">
        <f>IFERROR(产品SKU!G8,0)</f>
        <v/>
      </c>
      <c r="F80" s="10">
        <f>IFERROR(过程品仓计算!E80/参数设置!$C$5,0)</f>
        <v/>
      </c>
      <c r="G80" s="10">
        <f>IFERROR(产品SKU!T8,0)</f>
        <v/>
      </c>
      <c r="H80" s="10">
        <f>IFERROR(过程品仓计算!F80*过程品仓计算!G80,0)</f>
        <v/>
      </c>
      <c r="I80" s="9" t="n"/>
      <c r="J80" s="9" t="n">
        <v>2</v>
      </c>
      <c r="K80" s="10">
        <f>IFERROR(IF(过程品仓计算!I80="",0,过程品仓计算!I80)*IF(过程品仓计算!J80="",0,过程品仓计算!J80),0)</f>
        <v/>
      </c>
      <c r="L80" s="10">
        <f>IFERROR(MAX(过程品仓计算!H80,过程品仓计算!K80)/MAX(1-IF(过程品仓计算!M80="",0,过程品仓计算!M80),0.01)*(1+IF(过程品仓计算!N80="",0,过程品仓计算!N80)),0)</f>
        <v/>
      </c>
      <c r="M80" s="11" t="n">
        <v>0</v>
      </c>
      <c r="N80" s="11" t="n">
        <v>0</v>
      </c>
      <c r="O80" s="9" t="n"/>
      <c r="P80" s="9" t="n"/>
      <c r="Q80" s="9" t="n"/>
      <c r="R80" s="10">
        <f>IFERROR(过程品仓计算!L80+IF(过程品仓计算!O80="",0,过程品仓计算!O80)+IF(过程品仓计算!P80="",0,过程品仓计算!P80)+IF(过程品仓计算!Q80="",0,过程品仓计算!Q80),0)</f>
        <v/>
      </c>
      <c r="S80" s="10">
        <f>IFERROR(CEILING(过程品仓计算!R80/MAX(产品SKU!M8,1),1)*参数设置!$C$13/MAX(参数设置!$C$14,1)/参数设置!$C$18*参数设置!$C$21,0)</f>
        <v/>
      </c>
    </row>
    <row r="81" ht="20" customHeight="1">
      <c r="A81" s="13" t="n">
        <v>7</v>
      </c>
      <c r="B81" s="16" t="inlineStr">
        <is>
          <t>高温碳化后暂存</t>
        </is>
      </c>
      <c r="C81" s="16">
        <f>IFERROR(产品SKU!B9,"")</f>
        <v/>
      </c>
      <c r="D81" s="16">
        <f>IFERROR(产品SKU!D9,"")</f>
        <v/>
      </c>
      <c r="E81" s="10">
        <f>IFERROR(产品SKU!G9,0)</f>
        <v/>
      </c>
      <c r="F81" s="10">
        <f>IFERROR(过程品仓计算!E81/参数设置!$C$5,0)</f>
        <v/>
      </c>
      <c r="G81" s="10">
        <f>IFERROR(产品SKU!T9,0)</f>
        <v/>
      </c>
      <c r="H81" s="10">
        <f>IFERROR(过程品仓计算!F81*过程品仓计算!G81,0)</f>
        <v/>
      </c>
      <c r="I81" s="9" t="n"/>
      <c r="J81" s="9" t="n">
        <v>2</v>
      </c>
      <c r="K81" s="10">
        <f>IFERROR(IF(过程品仓计算!I81="",0,过程品仓计算!I81)*IF(过程品仓计算!J81="",0,过程品仓计算!J81),0)</f>
        <v/>
      </c>
      <c r="L81" s="10">
        <f>IFERROR(MAX(过程品仓计算!H81,过程品仓计算!K81)/MAX(1-IF(过程品仓计算!M81="",0,过程品仓计算!M81),0.01)*(1+IF(过程品仓计算!N81="",0,过程品仓计算!N81)),0)</f>
        <v/>
      </c>
      <c r="M81" s="11" t="n">
        <v>0</v>
      </c>
      <c r="N81" s="11" t="n">
        <v>0</v>
      </c>
      <c r="O81" s="9" t="n"/>
      <c r="P81" s="9" t="n"/>
      <c r="Q81" s="9" t="n"/>
      <c r="R81" s="10">
        <f>IFERROR(过程品仓计算!L81+IF(过程品仓计算!O81="",0,过程品仓计算!O81)+IF(过程品仓计算!P81="",0,过程品仓计算!P81)+IF(过程品仓计算!Q81="",0,过程品仓计算!Q81),0)</f>
        <v/>
      </c>
      <c r="S81" s="10">
        <f>IFERROR(CEILING(过程品仓计算!R81/MAX(产品SKU!M9,1),1)*参数设置!$C$13/MAX(参数设置!$C$14,1)/参数设置!$C$18*参数设置!$C$21,0)</f>
        <v/>
      </c>
    </row>
    <row r="82" ht="20" customHeight="1">
      <c r="A82" s="13" t="n">
        <v>8</v>
      </c>
      <c r="B82" s="16" t="inlineStr">
        <is>
          <t>高温碳化后暂存</t>
        </is>
      </c>
      <c r="C82" s="16">
        <f>IFERROR(产品SKU!B10,"")</f>
        <v/>
      </c>
      <c r="D82" s="16">
        <f>IFERROR(产品SKU!D10,"")</f>
        <v/>
      </c>
      <c r="E82" s="10">
        <f>IFERROR(产品SKU!G10,0)</f>
        <v/>
      </c>
      <c r="F82" s="10">
        <f>IFERROR(过程品仓计算!E82/参数设置!$C$5,0)</f>
        <v/>
      </c>
      <c r="G82" s="10">
        <f>IFERROR(产品SKU!T10,0)</f>
        <v/>
      </c>
      <c r="H82" s="10">
        <f>IFERROR(过程品仓计算!F82*过程品仓计算!G82,0)</f>
        <v/>
      </c>
      <c r="I82" s="9" t="n"/>
      <c r="J82" s="9" t="n">
        <v>2</v>
      </c>
      <c r="K82" s="10">
        <f>IFERROR(IF(过程品仓计算!I82="",0,过程品仓计算!I82)*IF(过程品仓计算!J82="",0,过程品仓计算!J82),0)</f>
        <v/>
      </c>
      <c r="L82" s="10">
        <f>IFERROR(MAX(过程品仓计算!H82,过程品仓计算!K82)/MAX(1-IF(过程品仓计算!M82="",0,过程品仓计算!M82),0.01)*(1+IF(过程品仓计算!N82="",0,过程品仓计算!N82)),0)</f>
        <v/>
      </c>
      <c r="M82" s="11" t="n">
        <v>0</v>
      </c>
      <c r="N82" s="11" t="n">
        <v>0</v>
      </c>
      <c r="O82" s="9" t="n"/>
      <c r="P82" s="9" t="n"/>
      <c r="Q82" s="9" t="n"/>
      <c r="R82" s="10">
        <f>IFERROR(过程品仓计算!L82+IF(过程品仓计算!O82="",0,过程品仓计算!O82)+IF(过程品仓计算!P82="",0,过程品仓计算!P82)+IF(过程品仓计算!Q82="",0,过程品仓计算!Q82),0)</f>
        <v/>
      </c>
      <c r="S82" s="10">
        <f>IFERROR(CEILING(过程品仓计算!R82/MAX(产品SKU!M10,1),1)*参数设置!$C$13/MAX(参数设置!$C$14,1)/参数设置!$C$18*参数设置!$C$21,0)</f>
        <v/>
      </c>
    </row>
    <row r="83" ht="20" customHeight="1">
      <c r="A83" s="13" t="n">
        <v>9</v>
      </c>
      <c r="B83" s="16" t="inlineStr">
        <is>
          <t>高温碳化后暂存</t>
        </is>
      </c>
      <c r="C83" s="16">
        <f>IFERROR(产品SKU!B11,"")</f>
        <v/>
      </c>
      <c r="D83" s="16">
        <f>IFERROR(产品SKU!D11,"")</f>
        <v/>
      </c>
      <c r="E83" s="10">
        <f>IFERROR(产品SKU!G11,0)</f>
        <v/>
      </c>
      <c r="F83" s="10">
        <f>IFERROR(过程品仓计算!E83/参数设置!$C$5,0)</f>
        <v/>
      </c>
      <c r="G83" s="10">
        <f>IFERROR(产品SKU!T11,0)</f>
        <v/>
      </c>
      <c r="H83" s="10">
        <f>IFERROR(过程品仓计算!F83*过程品仓计算!G83,0)</f>
        <v/>
      </c>
      <c r="I83" s="9" t="n"/>
      <c r="J83" s="9" t="n">
        <v>2</v>
      </c>
      <c r="K83" s="10">
        <f>IFERROR(IF(过程品仓计算!I83="",0,过程品仓计算!I83)*IF(过程品仓计算!J83="",0,过程品仓计算!J83),0)</f>
        <v/>
      </c>
      <c r="L83" s="10">
        <f>IFERROR(MAX(过程品仓计算!H83,过程品仓计算!K83)/MAX(1-IF(过程品仓计算!M83="",0,过程品仓计算!M83),0.01)*(1+IF(过程品仓计算!N83="",0,过程品仓计算!N83)),0)</f>
        <v/>
      </c>
      <c r="M83" s="11" t="n">
        <v>0</v>
      </c>
      <c r="N83" s="11" t="n">
        <v>0</v>
      </c>
      <c r="O83" s="9" t="n"/>
      <c r="P83" s="9" t="n"/>
      <c r="Q83" s="9" t="n"/>
      <c r="R83" s="10">
        <f>IFERROR(过程品仓计算!L83+IF(过程品仓计算!O83="",0,过程品仓计算!O83)+IF(过程品仓计算!P83="",0,过程品仓计算!P83)+IF(过程品仓计算!Q83="",0,过程品仓计算!Q83),0)</f>
        <v/>
      </c>
      <c r="S83" s="10">
        <f>IFERROR(CEILING(过程品仓计算!R83/MAX(产品SKU!M11,1),1)*参数设置!$C$13/MAX(参数设置!$C$14,1)/参数设置!$C$18*参数设置!$C$21,0)</f>
        <v/>
      </c>
    </row>
    <row r="84" ht="20" customHeight="1">
      <c r="A84" s="13" t="n">
        <v>10</v>
      </c>
      <c r="B84" s="16" t="inlineStr">
        <is>
          <t>高温碳化后暂存</t>
        </is>
      </c>
      <c r="C84" s="16">
        <f>IFERROR(产品SKU!B12,"")</f>
        <v/>
      </c>
      <c r="D84" s="16">
        <f>IFERROR(产品SKU!D12,"")</f>
        <v/>
      </c>
      <c r="E84" s="10">
        <f>IFERROR(产品SKU!G12,0)</f>
        <v/>
      </c>
      <c r="F84" s="10">
        <f>IFERROR(过程品仓计算!E84/参数设置!$C$5,0)</f>
        <v/>
      </c>
      <c r="G84" s="10">
        <f>IFERROR(产品SKU!T12,0)</f>
        <v/>
      </c>
      <c r="H84" s="10">
        <f>IFERROR(过程品仓计算!F84*过程品仓计算!G84,0)</f>
        <v/>
      </c>
      <c r="I84" s="9" t="n"/>
      <c r="J84" s="9" t="n">
        <v>2</v>
      </c>
      <c r="K84" s="10">
        <f>IFERROR(IF(过程品仓计算!I84="",0,过程品仓计算!I84)*IF(过程品仓计算!J84="",0,过程品仓计算!J84),0)</f>
        <v/>
      </c>
      <c r="L84" s="10">
        <f>IFERROR(MAX(过程品仓计算!H84,过程品仓计算!K84)/MAX(1-IF(过程品仓计算!M84="",0,过程品仓计算!M84),0.01)*(1+IF(过程品仓计算!N84="",0,过程品仓计算!N84)),0)</f>
        <v/>
      </c>
      <c r="M84" s="11" t="n">
        <v>0</v>
      </c>
      <c r="N84" s="11" t="n">
        <v>0</v>
      </c>
      <c r="O84" s="9" t="n"/>
      <c r="P84" s="9" t="n"/>
      <c r="Q84" s="9" t="n"/>
      <c r="R84" s="10">
        <f>IFERROR(过程品仓计算!L84+IF(过程品仓计算!O84="",0,过程品仓计算!O84)+IF(过程品仓计算!P84="",0,过程品仓计算!P84)+IF(过程品仓计算!Q84="",0,过程品仓计算!Q84),0)</f>
        <v/>
      </c>
      <c r="S84" s="10">
        <f>IFERROR(CEILING(过程品仓计算!R84/MAX(产品SKU!M12,1),1)*参数设置!$C$13/MAX(参数设置!$C$14,1)/参数设置!$C$18*参数设置!$C$21,0)</f>
        <v/>
      </c>
    </row>
    <row r="85" ht="20" customHeight="1">
      <c r="A85" s="13" t="n">
        <v>11</v>
      </c>
      <c r="B85" s="16" t="inlineStr">
        <is>
          <t>高温碳化后暂存</t>
        </is>
      </c>
      <c r="C85" s="16">
        <f>IFERROR(产品SKU!B13,"")</f>
        <v/>
      </c>
      <c r="D85" s="16">
        <f>IFERROR(产品SKU!D13,"")</f>
        <v/>
      </c>
      <c r="E85" s="10">
        <f>IFERROR(产品SKU!G13,0)</f>
        <v/>
      </c>
      <c r="F85" s="10">
        <f>IFERROR(过程品仓计算!E85/参数设置!$C$5,0)</f>
        <v/>
      </c>
      <c r="G85" s="10">
        <f>IFERROR(产品SKU!T13,0)</f>
        <v/>
      </c>
      <c r="H85" s="10">
        <f>IFERROR(过程品仓计算!F85*过程品仓计算!G85,0)</f>
        <v/>
      </c>
      <c r="I85" s="9" t="n"/>
      <c r="J85" s="9" t="n">
        <v>2</v>
      </c>
      <c r="K85" s="10">
        <f>IFERROR(IF(过程品仓计算!I85="",0,过程品仓计算!I85)*IF(过程品仓计算!J85="",0,过程品仓计算!J85),0)</f>
        <v/>
      </c>
      <c r="L85" s="10">
        <f>IFERROR(MAX(过程品仓计算!H85,过程品仓计算!K85)/MAX(1-IF(过程品仓计算!M85="",0,过程品仓计算!M85),0.01)*(1+IF(过程品仓计算!N85="",0,过程品仓计算!N85)),0)</f>
        <v/>
      </c>
      <c r="M85" s="11" t="n">
        <v>0</v>
      </c>
      <c r="N85" s="11" t="n">
        <v>0</v>
      </c>
      <c r="O85" s="9" t="n"/>
      <c r="P85" s="9" t="n"/>
      <c r="Q85" s="9" t="n"/>
      <c r="R85" s="10">
        <f>IFERROR(过程品仓计算!L85+IF(过程品仓计算!O85="",0,过程品仓计算!O85)+IF(过程品仓计算!P85="",0,过程品仓计算!P85)+IF(过程品仓计算!Q85="",0,过程品仓计算!Q85),0)</f>
        <v/>
      </c>
      <c r="S85" s="10">
        <f>IFERROR(CEILING(过程品仓计算!R85/MAX(产品SKU!M13,1),1)*参数设置!$C$13/MAX(参数设置!$C$14,1)/参数设置!$C$18*参数设置!$C$21,0)</f>
        <v/>
      </c>
    </row>
    <row r="86" ht="20" customHeight="1">
      <c r="A86" s="13" t="n">
        <v>12</v>
      </c>
      <c r="B86" s="16" t="inlineStr">
        <is>
          <t>高温碳化后暂存</t>
        </is>
      </c>
      <c r="C86" s="16">
        <f>IFERROR(产品SKU!B14,"")</f>
        <v/>
      </c>
      <c r="D86" s="16">
        <f>IFERROR(产品SKU!D14,"")</f>
        <v/>
      </c>
      <c r="E86" s="10">
        <f>IFERROR(产品SKU!G14,0)</f>
        <v/>
      </c>
      <c r="F86" s="10">
        <f>IFERROR(过程品仓计算!E86/参数设置!$C$5,0)</f>
        <v/>
      </c>
      <c r="G86" s="10">
        <f>IFERROR(产品SKU!T14,0)</f>
        <v/>
      </c>
      <c r="H86" s="10">
        <f>IFERROR(过程品仓计算!F86*过程品仓计算!G86,0)</f>
        <v/>
      </c>
      <c r="I86" s="9" t="n"/>
      <c r="J86" s="9" t="n">
        <v>2</v>
      </c>
      <c r="K86" s="10">
        <f>IFERROR(IF(过程品仓计算!I86="",0,过程品仓计算!I86)*IF(过程品仓计算!J86="",0,过程品仓计算!J86),0)</f>
        <v/>
      </c>
      <c r="L86" s="10">
        <f>IFERROR(MAX(过程品仓计算!H86,过程品仓计算!K86)/MAX(1-IF(过程品仓计算!M86="",0,过程品仓计算!M86),0.01)*(1+IF(过程品仓计算!N86="",0,过程品仓计算!N86)),0)</f>
        <v/>
      </c>
      <c r="M86" s="11" t="n">
        <v>0</v>
      </c>
      <c r="N86" s="11" t="n">
        <v>0</v>
      </c>
      <c r="O86" s="9" t="n"/>
      <c r="P86" s="9" t="n"/>
      <c r="Q86" s="9" t="n"/>
      <c r="R86" s="10">
        <f>IFERROR(过程品仓计算!L86+IF(过程品仓计算!O86="",0,过程品仓计算!O86)+IF(过程品仓计算!P86="",0,过程品仓计算!P86)+IF(过程品仓计算!Q86="",0,过程品仓计算!Q86),0)</f>
        <v/>
      </c>
      <c r="S86" s="10">
        <f>IFERROR(CEILING(过程品仓计算!R86/MAX(产品SKU!M14,1),1)*参数设置!$C$13/MAX(参数设置!$C$14,1)/参数设置!$C$18*参数设置!$C$21,0)</f>
        <v/>
      </c>
    </row>
    <row r="87" ht="20" customHeight="1">
      <c r="A87" s="19" t="inlineStr">
        <is>
          <t>高温碳化后暂存 小计</t>
        </is>
      </c>
      <c r="R87" s="10">
        <f>SUM(R75:R86)</f>
        <v/>
      </c>
      <c r="S87" s="10">
        <f>SUM(S75:S86)</f>
        <v/>
      </c>
    </row>
    <row r="88" ht="22" customHeight="1">
      <c r="A88" s="7" t="inlineStr">
        <is>
          <t>【成品筛分后暂存（成品前）】</t>
        </is>
      </c>
    </row>
    <row r="89" ht="20" customHeight="1">
      <c r="A89" s="13" t="n">
        <v>1</v>
      </c>
      <c r="B89" s="16" t="inlineStr">
        <is>
          <t>成品筛分后暂存（成品前）</t>
        </is>
      </c>
      <c r="C89" s="16">
        <f>IFERROR(产品SKU!B3,"")</f>
        <v/>
      </c>
      <c r="D89" s="16">
        <f>IFERROR(产品SKU!D3,"")</f>
        <v/>
      </c>
      <c r="E89" s="10">
        <f>IFERROR(产品SKU!G3,0)</f>
        <v/>
      </c>
      <c r="F89" s="10">
        <f>IFERROR(过程品仓计算!E89/参数设置!$C$5,0)</f>
        <v/>
      </c>
      <c r="G89" s="10">
        <f>IFERROR(产品SKU!U3,0)</f>
        <v/>
      </c>
      <c r="H89" s="10">
        <f>IFERROR(过程品仓计算!F89*过程品仓计算!G89,0)</f>
        <v/>
      </c>
      <c r="I89" s="9" t="n"/>
      <c r="J89" s="9" t="n">
        <v>2</v>
      </c>
      <c r="K89" s="10">
        <f>IFERROR(IF(过程品仓计算!I89="",0,过程品仓计算!I89)*IF(过程品仓计算!J89="",0,过程品仓计算!J89),0)</f>
        <v/>
      </c>
      <c r="L89" s="10">
        <f>IFERROR(MAX(过程品仓计算!H89,过程品仓计算!K89)/MAX(1-IF(过程品仓计算!M89="",0,过程品仓计算!M89),0.01)*(1+IF(过程品仓计算!N89="",0,过程品仓计算!N89)),0)</f>
        <v/>
      </c>
      <c r="M89" s="11" t="n">
        <v>0</v>
      </c>
      <c r="N89" s="11" t="n">
        <v>0</v>
      </c>
      <c r="O89" s="9" t="n"/>
      <c r="P89" s="9" t="n"/>
      <c r="Q89" s="9" t="n"/>
      <c r="R89" s="10">
        <f>IFERROR(过程品仓计算!L89+IF(过程品仓计算!O89="",0,过程品仓计算!O89)+IF(过程品仓计算!P89="",0,过程品仓计算!P89)+IF(过程品仓计算!Q89="",0,过程品仓计算!Q89),0)</f>
        <v/>
      </c>
      <c r="S89" s="10">
        <f>IFERROR(CEILING(过程品仓计算!R89/MAX(产品SKU!M3,1),1)*参数设置!$C$13/MAX(参数设置!$C$14,1)/参数设置!$C$18*参数设置!$C$21,0)</f>
        <v/>
      </c>
    </row>
    <row r="90" ht="20" customHeight="1">
      <c r="A90" s="13" t="n">
        <v>2</v>
      </c>
      <c r="B90" s="16" t="inlineStr">
        <is>
          <t>成品筛分后暂存（成品前）</t>
        </is>
      </c>
      <c r="C90" s="16">
        <f>IFERROR(产品SKU!B4,"")</f>
        <v/>
      </c>
      <c r="D90" s="16">
        <f>IFERROR(产品SKU!D4,"")</f>
        <v/>
      </c>
      <c r="E90" s="10">
        <f>IFERROR(产品SKU!G4,0)</f>
        <v/>
      </c>
      <c r="F90" s="10">
        <f>IFERROR(过程品仓计算!E90/参数设置!$C$5,0)</f>
        <v/>
      </c>
      <c r="G90" s="10">
        <f>IFERROR(产品SKU!U4,0)</f>
        <v/>
      </c>
      <c r="H90" s="10">
        <f>IFERROR(过程品仓计算!F90*过程品仓计算!G90,0)</f>
        <v/>
      </c>
      <c r="I90" s="9" t="n"/>
      <c r="J90" s="9" t="n">
        <v>2</v>
      </c>
      <c r="K90" s="10">
        <f>IFERROR(IF(过程品仓计算!I90="",0,过程品仓计算!I90)*IF(过程品仓计算!J90="",0,过程品仓计算!J90),0)</f>
        <v/>
      </c>
      <c r="L90" s="10">
        <f>IFERROR(MAX(过程品仓计算!H90,过程品仓计算!K90)/MAX(1-IF(过程品仓计算!M90="",0,过程品仓计算!M90),0.01)*(1+IF(过程品仓计算!N90="",0,过程品仓计算!N90)),0)</f>
        <v/>
      </c>
      <c r="M90" s="11" t="n">
        <v>0</v>
      </c>
      <c r="N90" s="11" t="n">
        <v>0</v>
      </c>
      <c r="O90" s="9" t="n"/>
      <c r="P90" s="9" t="n"/>
      <c r="Q90" s="9" t="n"/>
      <c r="R90" s="10">
        <f>IFERROR(过程品仓计算!L90+IF(过程品仓计算!O90="",0,过程品仓计算!O90)+IF(过程品仓计算!P90="",0,过程品仓计算!P90)+IF(过程品仓计算!Q90="",0,过程品仓计算!Q90),0)</f>
        <v/>
      </c>
      <c r="S90" s="10">
        <f>IFERROR(CEILING(过程品仓计算!R90/MAX(产品SKU!M4,1),1)*参数设置!$C$13/MAX(参数设置!$C$14,1)/参数设置!$C$18*参数设置!$C$21,0)</f>
        <v/>
      </c>
    </row>
    <row r="91" ht="20" customHeight="1">
      <c r="A91" s="13" t="n">
        <v>3</v>
      </c>
      <c r="B91" s="16" t="inlineStr">
        <is>
          <t>成品筛分后暂存（成品前）</t>
        </is>
      </c>
      <c r="C91" s="16">
        <f>IFERROR(产品SKU!B5,"")</f>
        <v/>
      </c>
      <c r="D91" s="16">
        <f>IFERROR(产品SKU!D5,"")</f>
        <v/>
      </c>
      <c r="E91" s="10">
        <f>IFERROR(产品SKU!G5,0)</f>
        <v/>
      </c>
      <c r="F91" s="10">
        <f>IFERROR(过程品仓计算!E91/参数设置!$C$5,0)</f>
        <v/>
      </c>
      <c r="G91" s="10">
        <f>IFERROR(产品SKU!U5,0)</f>
        <v/>
      </c>
      <c r="H91" s="10">
        <f>IFERROR(过程品仓计算!F91*过程品仓计算!G91,0)</f>
        <v/>
      </c>
      <c r="I91" s="9" t="n"/>
      <c r="J91" s="9" t="n">
        <v>2</v>
      </c>
      <c r="K91" s="10">
        <f>IFERROR(IF(过程品仓计算!I91="",0,过程品仓计算!I91)*IF(过程品仓计算!J91="",0,过程品仓计算!J91),0)</f>
        <v/>
      </c>
      <c r="L91" s="10">
        <f>IFERROR(MAX(过程品仓计算!H91,过程品仓计算!K91)/MAX(1-IF(过程品仓计算!M91="",0,过程品仓计算!M91),0.01)*(1+IF(过程品仓计算!N91="",0,过程品仓计算!N91)),0)</f>
        <v/>
      </c>
      <c r="M91" s="11" t="n">
        <v>0</v>
      </c>
      <c r="N91" s="11" t="n">
        <v>0</v>
      </c>
      <c r="O91" s="9" t="n"/>
      <c r="P91" s="9" t="n"/>
      <c r="Q91" s="9" t="n"/>
      <c r="R91" s="10">
        <f>IFERROR(过程品仓计算!L91+IF(过程品仓计算!O91="",0,过程品仓计算!O91)+IF(过程品仓计算!P91="",0,过程品仓计算!P91)+IF(过程品仓计算!Q91="",0,过程品仓计算!Q91),0)</f>
        <v/>
      </c>
      <c r="S91" s="10">
        <f>IFERROR(CEILING(过程品仓计算!R91/MAX(产品SKU!M5,1),1)*参数设置!$C$13/MAX(参数设置!$C$14,1)/参数设置!$C$18*参数设置!$C$21,0)</f>
        <v/>
      </c>
    </row>
    <row r="92" ht="20" customHeight="1">
      <c r="A92" s="13" t="n">
        <v>4</v>
      </c>
      <c r="B92" s="16" t="inlineStr">
        <is>
          <t>成品筛分后暂存（成品前）</t>
        </is>
      </c>
      <c r="C92" s="16">
        <f>IFERROR(产品SKU!B6,"")</f>
        <v/>
      </c>
      <c r="D92" s="16">
        <f>IFERROR(产品SKU!D6,"")</f>
        <v/>
      </c>
      <c r="E92" s="10">
        <f>IFERROR(产品SKU!G6,0)</f>
        <v/>
      </c>
      <c r="F92" s="10">
        <f>IFERROR(过程品仓计算!E92/参数设置!$C$5,0)</f>
        <v/>
      </c>
      <c r="G92" s="10">
        <f>IFERROR(产品SKU!U6,0)</f>
        <v/>
      </c>
      <c r="H92" s="10">
        <f>IFERROR(过程品仓计算!F92*过程品仓计算!G92,0)</f>
        <v/>
      </c>
      <c r="I92" s="9" t="n"/>
      <c r="J92" s="9" t="n">
        <v>2</v>
      </c>
      <c r="K92" s="10">
        <f>IFERROR(IF(过程品仓计算!I92="",0,过程品仓计算!I92)*IF(过程品仓计算!J92="",0,过程品仓计算!J92),0)</f>
        <v/>
      </c>
      <c r="L92" s="10">
        <f>IFERROR(MAX(过程品仓计算!H92,过程品仓计算!K92)/MAX(1-IF(过程品仓计算!M92="",0,过程品仓计算!M92),0.01)*(1+IF(过程品仓计算!N92="",0,过程品仓计算!N92)),0)</f>
        <v/>
      </c>
      <c r="M92" s="11" t="n">
        <v>0</v>
      </c>
      <c r="N92" s="11" t="n">
        <v>0</v>
      </c>
      <c r="O92" s="9" t="n"/>
      <c r="P92" s="9" t="n"/>
      <c r="Q92" s="9" t="n"/>
      <c r="R92" s="10">
        <f>IFERROR(过程品仓计算!L92+IF(过程品仓计算!O92="",0,过程品仓计算!O92)+IF(过程品仓计算!P92="",0,过程品仓计算!P92)+IF(过程品仓计算!Q92="",0,过程品仓计算!Q92),0)</f>
        <v/>
      </c>
      <c r="S92" s="10">
        <f>IFERROR(CEILING(过程品仓计算!R92/MAX(产品SKU!M6,1),1)*参数设置!$C$13/MAX(参数设置!$C$14,1)/参数设置!$C$18*参数设置!$C$21,0)</f>
        <v/>
      </c>
    </row>
    <row r="93" ht="20" customHeight="1">
      <c r="A93" s="13" t="n">
        <v>5</v>
      </c>
      <c r="B93" s="16" t="inlineStr">
        <is>
          <t>成品筛分后暂存（成品前）</t>
        </is>
      </c>
      <c r="C93" s="16">
        <f>IFERROR(产品SKU!B7,"")</f>
        <v/>
      </c>
      <c r="D93" s="16">
        <f>IFERROR(产品SKU!D7,"")</f>
        <v/>
      </c>
      <c r="E93" s="10">
        <f>IFERROR(产品SKU!G7,0)</f>
        <v/>
      </c>
      <c r="F93" s="10">
        <f>IFERROR(过程品仓计算!E93/参数设置!$C$5,0)</f>
        <v/>
      </c>
      <c r="G93" s="10">
        <f>IFERROR(产品SKU!U7,0)</f>
        <v/>
      </c>
      <c r="H93" s="10">
        <f>IFERROR(过程品仓计算!F93*过程品仓计算!G93,0)</f>
        <v/>
      </c>
      <c r="I93" s="9" t="n"/>
      <c r="J93" s="9" t="n">
        <v>2</v>
      </c>
      <c r="K93" s="10">
        <f>IFERROR(IF(过程品仓计算!I93="",0,过程品仓计算!I93)*IF(过程品仓计算!J93="",0,过程品仓计算!J93),0)</f>
        <v/>
      </c>
      <c r="L93" s="10">
        <f>IFERROR(MAX(过程品仓计算!H93,过程品仓计算!K93)/MAX(1-IF(过程品仓计算!M93="",0,过程品仓计算!M93),0.01)*(1+IF(过程品仓计算!N93="",0,过程品仓计算!N93)),0)</f>
        <v/>
      </c>
      <c r="M93" s="11" t="n">
        <v>0</v>
      </c>
      <c r="N93" s="11" t="n">
        <v>0</v>
      </c>
      <c r="O93" s="9" t="n"/>
      <c r="P93" s="9" t="n"/>
      <c r="Q93" s="9" t="n"/>
      <c r="R93" s="10">
        <f>IFERROR(过程品仓计算!L93+IF(过程品仓计算!O93="",0,过程品仓计算!O93)+IF(过程品仓计算!P93="",0,过程品仓计算!P93)+IF(过程品仓计算!Q93="",0,过程品仓计算!Q93),0)</f>
        <v/>
      </c>
      <c r="S93" s="10">
        <f>IFERROR(CEILING(过程品仓计算!R93/MAX(产品SKU!M7,1),1)*参数设置!$C$13/MAX(参数设置!$C$14,1)/参数设置!$C$18*参数设置!$C$21,0)</f>
        <v/>
      </c>
    </row>
    <row r="94" ht="20" customHeight="1">
      <c r="A94" s="13" t="n">
        <v>6</v>
      </c>
      <c r="B94" s="16" t="inlineStr">
        <is>
          <t>成品筛分后暂存（成品前）</t>
        </is>
      </c>
      <c r="C94" s="16">
        <f>IFERROR(产品SKU!B8,"")</f>
        <v/>
      </c>
      <c r="D94" s="16">
        <f>IFERROR(产品SKU!D8,"")</f>
        <v/>
      </c>
      <c r="E94" s="10">
        <f>IFERROR(产品SKU!G8,0)</f>
        <v/>
      </c>
      <c r="F94" s="10">
        <f>IFERROR(过程品仓计算!E94/参数设置!$C$5,0)</f>
        <v/>
      </c>
      <c r="G94" s="10">
        <f>IFERROR(产品SKU!U8,0)</f>
        <v/>
      </c>
      <c r="H94" s="10">
        <f>IFERROR(过程品仓计算!F94*过程品仓计算!G94,0)</f>
        <v/>
      </c>
      <c r="I94" s="9" t="n"/>
      <c r="J94" s="9" t="n">
        <v>2</v>
      </c>
      <c r="K94" s="10">
        <f>IFERROR(IF(过程品仓计算!I94="",0,过程品仓计算!I94)*IF(过程品仓计算!J94="",0,过程品仓计算!J94),0)</f>
        <v/>
      </c>
      <c r="L94" s="10">
        <f>IFERROR(MAX(过程品仓计算!H94,过程品仓计算!K94)/MAX(1-IF(过程品仓计算!M94="",0,过程品仓计算!M94),0.01)*(1+IF(过程品仓计算!N94="",0,过程品仓计算!N94)),0)</f>
        <v/>
      </c>
      <c r="M94" s="11" t="n">
        <v>0</v>
      </c>
      <c r="N94" s="11" t="n">
        <v>0</v>
      </c>
      <c r="O94" s="9" t="n"/>
      <c r="P94" s="9" t="n"/>
      <c r="Q94" s="9" t="n"/>
      <c r="R94" s="10">
        <f>IFERROR(过程品仓计算!L94+IF(过程品仓计算!O94="",0,过程品仓计算!O94)+IF(过程品仓计算!P94="",0,过程品仓计算!P94)+IF(过程品仓计算!Q94="",0,过程品仓计算!Q94),0)</f>
        <v/>
      </c>
      <c r="S94" s="10">
        <f>IFERROR(CEILING(过程品仓计算!R94/MAX(产品SKU!M8,1),1)*参数设置!$C$13/MAX(参数设置!$C$14,1)/参数设置!$C$18*参数设置!$C$21,0)</f>
        <v/>
      </c>
    </row>
    <row r="95" ht="20" customHeight="1">
      <c r="A95" s="13" t="n">
        <v>7</v>
      </c>
      <c r="B95" s="16" t="inlineStr">
        <is>
          <t>成品筛分后暂存（成品前）</t>
        </is>
      </c>
      <c r="C95" s="16">
        <f>IFERROR(产品SKU!B9,"")</f>
        <v/>
      </c>
      <c r="D95" s="16">
        <f>IFERROR(产品SKU!D9,"")</f>
        <v/>
      </c>
      <c r="E95" s="10">
        <f>IFERROR(产品SKU!G9,0)</f>
        <v/>
      </c>
      <c r="F95" s="10">
        <f>IFERROR(过程品仓计算!E95/参数设置!$C$5,0)</f>
        <v/>
      </c>
      <c r="G95" s="10">
        <f>IFERROR(产品SKU!U9,0)</f>
        <v/>
      </c>
      <c r="H95" s="10">
        <f>IFERROR(过程品仓计算!F95*过程品仓计算!G95,0)</f>
        <v/>
      </c>
      <c r="I95" s="9" t="n"/>
      <c r="J95" s="9" t="n">
        <v>2</v>
      </c>
      <c r="K95" s="10">
        <f>IFERROR(IF(过程品仓计算!I95="",0,过程品仓计算!I95)*IF(过程品仓计算!J95="",0,过程品仓计算!J95),0)</f>
        <v/>
      </c>
      <c r="L95" s="10">
        <f>IFERROR(MAX(过程品仓计算!H95,过程品仓计算!K95)/MAX(1-IF(过程品仓计算!M95="",0,过程品仓计算!M95),0.01)*(1+IF(过程品仓计算!N95="",0,过程品仓计算!N95)),0)</f>
        <v/>
      </c>
      <c r="M95" s="11" t="n">
        <v>0</v>
      </c>
      <c r="N95" s="11" t="n">
        <v>0</v>
      </c>
      <c r="O95" s="9" t="n"/>
      <c r="P95" s="9" t="n"/>
      <c r="Q95" s="9" t="n"/>
      <c r="R95" s="10">
        <f>IFERROR(过程品仓计算!L95+IF(过程品仓计算!O95="",0,过程品仓计算!O95)+IF(过程品仓计算!P95="",0,过程品仓计算!P95)+IF(过程品仓计算!Q95="",0,过程品仓计算!Q95),0)</f>
        <v/>
      </c>
      <c r="S95" s="10">
        <f>IFERROR(CEILING(过程品仓计算!R95/MAX(产品SKU!M9,1),1)*参数设置!$C$13/MAX(参数设置!$C$14,1)/参数设置!$C$18*参数设置!$C$21,0)</f>
        <v/>
      </c>
    </row>
    <row r="96" ht="20" customHeight="1">
      <c r="A96" s="13" t="n">
        <v>8</v>
      </c>
      <c r="B96" s="16" t="inlineStr">
        <is>
          <t>成品筛分后暂存（成品前）</t>
        </is>
      </c>
      <c r="C96" s="16">
        <f>IFERROR(产品SKU!B10,"")</f>
        <v/>
      </c>
      <c r="D96" s="16">
        <f>IFERROR(产品SKU!D10,"")</f>
        <v/>
      </c>
      <c r="E96" s="10">
        <f>IFERROR(产品SKU!G10,0)</f>
        <v/>
      </c>
      <c r="F96" s="10">
        <f>IFERROR(过程品仓计算!E96/参数设置!$C$5,0)</f>
        <v/>
      </c>
      <c r="G96" s="10">
        <f>IFERROR(产品SKU!U10,0)</f>
        <v/>
      </c>
      <c r="H96" s="10">
        <f>IFERROR(过程品仓计算!F96*过程品仓计算!G96,0)</f>
        <v/>
      </c>
      <c r="I96" s="9" t="n"/>
      <c r="J96" s="9" t="n">
        <v>2</v>
      </c>
      <c r="K96" s="10">
        <f>IFERROR(IF(过程品仓计算!I96="",0,过程品仓计算!I96)*IF(过程品仓计算!J96="",0,过程品仓计算!J96),0)</f>
        <v/>
      </c>
      <c r="L96" s="10">
        <f>IFERROR(MAX(过程品仓计算!H96,过程品仓计算!K96)/MAX(1-IF(过程品仓计算!M96="",0,过程品仓计算!M96),0.01)*(1+IF(过程品仓计算!N96="",0,过程品仓计算!N96)),0)</f>
        <v/>
      </c>
      <c r="M96" s="11" t="n">
        <v>0</v>
      </c>
      <c r="N96" s="11" t="n">
        <v>0</v>
      </c>
      <c r="O96" s="9" t="n"/>
      <c r="P96" s="9" t="n"/>
      <c r="Q96" s="9" t="n"/>
      <c r="R96" s="10">
        <f>IFERROR(过程品仓计算!L96+IF(过程品仓计算!O96="",0,过程品仓计算!O96)+IF(过程品仓计算!P96="",0,过程品仓计算!P96)+IF(过程品仓计算!Q96="",0,过程品仓计算!Q96),0)</f>
        <v/>
      </c>
      <c r="S96" s="10">
        <f>IFERROR(CEILING(过程品仓计算!R96/MAX(产品SKU!M10,1),1)*参数设置!$C$13/MAX(参数设置!$C$14,1)/参数设置!$C$18*参数设置!$C$21,0)</f>
        <v/>
      </c>
    </row>
    <row r="97" ht="20" customHeight="1">
      <c r="A97" s="13" t="n">
        <v>9</v>
      </c>
      <c r="B97" s="16" t="inlineStr">
        <is>
          <t>成品筛分后暂存（成品前）</t>
        </is>
      </c>
      <c r="C97" s="16">
        <f>IFERROR(产品SKU!B11,"")</f>
        <v/>
      </c>
      <c r="D97" s="16">
        <f>IFERROR(产品SKU!D11,"")</f>
        <v/>
      </c>
      <c r="E97" s="10">
        <f>IFERROR(产品SKU!G11,0)</f>
        <v/>
      </c>
      <c r="F97" s="10">
        <f>IFERROR(过程品仓计算!E97/参数设置!$C$5,0)</f>
        <v/>
      </c>
      <c r="G97" s="10">
        <f>IFERROR(产品SKU!U11,0)</f>
        <v/>
      </c>
      <c r="H97" s="10">
        <f>IFERROR(过程品仓计算!F97*过程品仓计算!G97,0)</f>
        <v/>
      </c>
      <c r="I97" s="9" t="n"/>
      <c r="J97" s="9" t="n">
        <v>2</v>
      </c>
      <c r="K97" s="10">
        <f>IFERROR(IF(过程品仓计算!I97="",0,过程品仓计算!I97)*IF(过程品仓计算!J97="",0,过程品仓计算!J97),0)</f>
        <v/>
      </c>
      <c r="L97" s="10">
        <f>IFERROR(MAX(过程品仓计算!H97,过程品仓计算!K97)/MAX(1-IF(过程品仓计算!M97="",0,过程品仓计算!M97),0.01)*(1+IF(过程品仓计算!N97="",0,过程品仓计算!N97)),0)</f>
        <v/>
      </c>
      <c r="M97" s="11" t="n">
        <v>0</v>
      </c>
      <c r="N97" s="11" t="n">
        <v>0</v>
      </c>
      <c r="O97" s="9" t="n"/>
      <c r="P97" s="9" t="n"/>
      <c r="Q97" s="9" t="n"/>
      <c r="R97" s="10">
        <f>IFERROR(过程品仓计算!L97+IF(过程品仓计算!O97="",0,过程品仓计算!O97)+IF(过程品仓计算!P97="",0,过程品仓计算!P97)+IF(过程品仓计算!Q97="",0,过程品仓计算!Q97),0)</f>
        <v/>
      </c>
      <c r="S97" s="10">
        <f>IFERROR(CEILING(过程品仓计算!R97/MAX(产品SKU!M11,1),1)*参数设置!$C$13/MAX(参数设置!$C$14,1)/参数设置!$C$18*参数设置!$C$21,0)</f>
        <v/>
      </c>
    </row>
    <row r="98" ht="20" customHeight="1">
      <c r="A98" s="13" t="n">
        <v>10</v>
      </c>
      <c r="B98" s="16" t="inlineStr">
        <is>
          <t>成品筛分后暂存（成品前）</t>
        </is>
      </c>
      <c r="C98" s="16">
        <f>IFERROR(产品SKU!B12,"")</f>
        <v/>
      </c>
      <c r="D98" s="16">
        <f>IFERROR(产品SKU!D12,"")</f>
        <v/>
      </c>
      <c r="E98" s="10">
        <f>IFERROR(产品SKU!G12,0)</f>
        <v/>
      </c>
      <c r="F98" s="10">
        <f>IFERROR(过程品仓计算!E98/参数设置!$C$5,0)</f>
        <v/>
      </c>
      <c r="G98" s="10">
        <f>IFERROR(产品SKU!U12,0)</f>
        <v/>
      </c>
      <c r="H98" s="10">
        <f>IFERROR(过程品仓计算!F98*过程品仓计算!G98,0)</f>
        <v/>
      </c>
      <c r="I98" s="9" t="n"/>
      <c r="J98" s="9" t="n">
        <v>2</v>
      </c>
      <c r="K98" s="10">
        <f>IFERROR(IF(过程品仓计算!I98="",0,过程品仓计算!I98)*IF(过程品仓计算!J98="",0,过程品仓计算!J98),0)</f>
        <v/>
      </c>
      <c r="L98" s="10">
        <f>IFERROR(MAX(过程品仓计算!H98,过程品仓计算!K98)/MAX(1-IF(过程品仓计算!M98="",0,过程品仓计算!M98),0.01)*(1+IF(过程品仓计算!N98="",0,过程品仓计算!N98)),0)</f>
        <v/>
      </c>
      <c r="M98" s="11" t="n">
        <v>0</v>
      </c>
      <c r="N98" s="11" t="n">
        <v>0</v>
      </c>
      <c r="O98" s="9" t="n"/>
      <c r="P98" s="9" t="n"/>
      <c r="Q98" s="9" t="n"/>
      <c r="R98" s="10">
        <f>IFERROR(过程品仓计算!L98+IF(过程品仓计算!O98="",0,过程品仓计算!O98)+IF(过程品仓计算!P98="",0,过程品仓计算!P98)+IF(过程品仓计算!Q98="",0,过程品仓计算!Q98),0)</f>
        <v/>
      </c>
      <c r="S98" s="10">
        <f>IFERROR(CEILING(过程品仓计算!R98/MAX(产品SKU!M12,1),1)*参数设置!$C$13/MAX(参数设置!$C$14,1)/参数设置!$C$18*参数设置!$C$21,0)</f>
        <v/>
      </c>
    </row>
    <row r="99" ht="20" customHeight="1">
      <c r="A99" s="13" t="n">
        <v>11</v>
      </c>
      <c r="B99" s="16" t="inlineStr">
        <is>
          <t>成品筛分后暂存（成品前）</t>
        </is>
      </c>
      <c r="C99" s="16">
        <f>IFERROR(产品SKU!B13,"")</f>
        <v/>
      </c>
      <c r="D99" s="16">
        <f>IFERROR(产品SKU!D13,"")</f>
        <v/>
      </c>
      <c r="E99" s="10">
        <f>IFERROR(产品SKU!G13,0)</f>
        <v/>
      </c>
      <c r="F99" s="10">
        <f>IFERROR(过程品仓计算!E99/参数设置!$C$5,0)</f>
        <v/>
      </c>
      <c r="G99" s="10">
        <f>IFERROR(产品SKU!U13,0)</f>
        <v/>
      </c>
      <c r="H99" s="10">
        <f>IFERROR(过程品仓计算!F99*过程品仓计算!G99,0)</f>
        <v/>
      </c>
      <c r="I99" s="9" t="n"/>
      <c r="J99" s="9" t="n">
        <v>2</v>
      </c>
      <c r="K99" s="10">
        <f>IFERROR(IF(过程品仓计算!I99="",0,过程品仓计算!I99)*IF(过程品仓计算!J99="",0,过程品仓计算!J99),0)</f>
        <v/>
      </c>
      <c r="L99" s="10">
        <f>IFERROR(MAX(过程品仓计算!H99,过程品仓计算!K99)/MAX(1-IF(过程品仓计算!M99="",0,过程品仓计算!M99),0.01)*(1+IF(过程品仓计算!N99="",0,过程品仓计算!N99)),0)</f>
        <v/>
      </c>
      <c r="M99" s="11" t="n">
        <v>0</v>
      </c>
      <c r="N99" s="11" t="n">
        <v>0</v>
      </c>
      <c r="O99" s="9" t="n"/>
      <c r="P99" s="9" t="n"/>
      <c r="Q99" s="9" t="n"/>
      <c r="R99" s="10">
        <f>IFERROR(过程品仓计算!L99+IF(过程品仓计算!O99="",0,过程品仓计算!O99)+IF(过程品仓计算!P99="",0,过程品仓计算!P99)+IF(过程品仓计算!Q99="",0,过程品仓计算!Q99),0)</f>
        <v/>
      </c>
      <c r="S99" s="10">
        <f>IFERROR(CEILING(过程品仓计算!R99/MAX(产品SKU!M13,1),1)*参数设置!$C$13/MAX(参数设置!$C$14,1)/参数设置!$C$18*参数设置!$C$21,0)</f>
        <v/>
      </c>
    </row>
    <row r="100" ht="20" customHeight="1">
      <c r="A100" s="13" t="n">
        <v>12</v>
      </c>
      <c r="B100" s="16" t="inlineStr">
        <is>
          <t>成品筛分后暂存（成品前）</t>
        </is>
      </c>
      <c r="C100" s="16">
        <f>IFERROR(产品SKU!B14,"")</f>
        <v/>
      </c>
      <c r="D100" s="16">
        <f>IFERROR(产品SKU!D14,"")</f>
        <v/>
      </c>
      <c r="E100" s="10">
        <f>IFERROR(产品SKU!G14,0)</f>
        <v/>
      </c>
      <c r="F100" s="10">
        <f>IFERROR(过程品仓计算!E100/参数设置!$C$5,0)</f>
        <v/>
      </c>
      <c r="G100" s="10">
        <f>IFERROR(产品SKU!U14,0)</f>
        <v/>
      </c>
      <c r="H100" s="10">
        <f>IFERROR(过程品仓计算!F100*过程品仓计算!G100,0)</f>
        <v/>
      </c>
      <c r="I100" s="9" t="n"/>
      <c r="J100" s="9" t="n">
        <v>2</v>
      </c>
      <c r="K100" s="10">
        <f>IFERROR(IF(过程品仓计算!I100="",0,过程品仓计算!I100)*IF(过程品仓计算!J100="",0,过程品仓计算!J100),0)</f>
        <v/>
      </c>
      <c r="L100" s="10">
        <f>IFERROR(MAX(过程品仓计算!H100,过程品仓计算!K100)/MAX(1-IF(过程品仓计算!M100="",0,过程品仓计算!M100),0.01)*(1+IF(过程品仓计算!N100="",0,过程品仓计算!N100)),0)</f>
        <v/>
      </c>
      <c r="M100" s="11" t="n">
        <v>0</v>
      </c>
      <c r="N100" s="11" t="n">
        <v>0</v>
      </c>
      <c r="O100" s="9" t="n"/>
      <c r="P100" s="9" t="n"/>
      <c r="Q100" s="9" t="n"/>
      <c r="R100" s="10">
        <f>IFERROR(过程品仓计算!L100+IF(过程品仓计算!O100="",0,过程品仓计算!O100)+IF(过程品仓计算!P100="",0,过程品仓计算!P100)+IF(过程品仓计算!Q100="",0,过程品仓计算!Q100),0)</f>
        <v/>
      </c>
      <c r="S100" s="10">
        <f>IFERROR(CEILING(过程品仓计算!R100/MAX(产品SKU!M14,1),1)*参数设置!$C$13/MAX(参数设置!$C$14,1)/参数设置!$C$18*参数设置!$C$21,0)</f>
        <v/>
      </c>
    </row>
    <row r="101" ht="20" customHeight="1">
      <c r="A101" s="19" t="inlineStr">
        <is>
          <t>成品筛分后暂存（成品前） 小计</t>
        </is>
      </c>
      <c r="R101" s="10">
        <f>SUM(R89:R100)</f>
        <v/>
      </c>
      <c r="S101" s="10">
        <f>SUM(S89:S100)</f>
        <v/>
      </c>
    </row>
    <row r="102" ht="22" customHeight="1">
      <c r="A102" s="18" t="inlineStr">
        <is>
          <t>过程品仓 合计</t>
        </is>
      </c>
      <c r="R102" s="10">
        <f>SUMPRODUCT((MOD(ROW(R4:R101)-4,14)=(13))*R4:R101)</f>
        <v/>
      </c>
      <c r="S102" s="10">
        <f>SUMPRODUCT((MOD(ROW(S4:S101)-4,14)=(13))*S4:S101)</f>
        <v/>
      </c>
    </row>
  </sheetData>
  <mergeCells count="17">
    <mergeCell ref="A31:Q31"/>
    <mergeCell ref="A60:S60"/>
    <mergeCell ref="A17:Q17"/>
    <mergeCell ref="A46:S46"/>
    <mergeCell ref="A32:S32"/>
    <mergeCell ref="A87:Q87"/>
    <mergeCell ref="A59:Q59"/>
    <mergeCell ref="A1:S1"/>
    <mergeCell ref="A74:S74"/>
    <mergeCell ref="A18:S18"/>
    <mergeCell ref="A73:Q73"/>
    <mergeCell ref="A88:S88"/>
    <mergeCell ref="A101:Q101"/>
    <mergeCell ref="A4:S4"/>
    <mergeCell ref="A45:Q45"/>
    <mergeCell ref="A102:Q102"/>
    <mergeCell ref="A2:S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Q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0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返工补偿库存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返工率</t>
        </is>
      </c>
      <c r="N3" s="6" t="inlineStr">
        <is>
          <t>返工补偿
库存
[自动]</t>
        </is>
      </c>
      <c r="O3" s="6" t="inlineStr">
        <is>
          <t>待检放行
库存</t>
        </is>
      </c>
      <c r="P3" s="6" t="inlineStr">
        <is>
          <t>设计库存
合计
[自动]</t>
        </is>
      </c>
      <c r="Q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10">
        <f>参数设置!$C$30</f>
        <v/>
      </c>
      <c r="N4" s="10">
        <f>IFERROR(成品仓计算!K4*成品仓计算!M4,0)</f>
        <v/>
      </c>
      <c r="O4" s="9" t="n"/>
      <c r="P4" s="10">
        <f>IFERROR(成品仓计算!K4+成品仓计算!L4+成品仓计算!N4+IF(成品仓计算!O4="",0,成品仓计算!O4),0)</f>
        <v/>
      </c>
      <c r="Q4" s="10">
        <f>IFERROR(CEILING(成品仓计算!P4/MAX(产品SKU!M3,1),1)*参数设置!$C$13/MAX(参数设置!$C$14,1)/参数设置!$C$19*参数设置!$C$21,0)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10">
        <f>参数设置!$C$30</f>
        <v/>
      </c>
      <c r="N5" s="10">
        <f>IFERROR(成品仓计算!K5*成品仓计算!M5,0)</f>
        <v/>
      </c>
      <c r="O5" s="9" t="n"/>
      <c r="P5" s="10">
        <f>IFERROR(成品仓计算!K5+成品仓计算!L5+成品仓计算!N5+IF(成品仓计算!O5="",0,成品仓计算!O5),0)</f>
        <v/>
      </c>
      <c r="Q5" s="10">
        <f>IFERROR(CEILING(成品仓计算!P5/MAX(产品SKU!M4,1),1)*参数设置!$C$13/MAX(参数设置!$C$14,1)/参数设置!$C$19*参数设置!$C$21,0)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10">
        <f>参数设置!$C$30</f>
        <v/>
      </c>
      <c r="N6" s="10">
        <f>IFERROR(成品仓计算!K6*成品仓计算!M6,0)</f>
        <v/>
      </c>
      <c r="O6" s="9" t="n"/>
      <c r="P6" s="10">
        <f>IFERROR(成品仓计算!K6+成品仓计算!L6+成品仓计算!N6+IF(成品仓计算!O6="",0,成品仓计算!O6),0)</f>
        <v/>
      </c>
      <c r="Q6" s="10">
        <f>IFERROR(CEILING(成品仓计算!P6/MAX(产品SKU!M5,1),1)*参数设置!$C$13/MAX(参数设置!$C$14,1)/参数设置!$C$19*参数设置!$C$21,0)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10">
        <f>参数设置!$C$30</f>
        <v/>
      </c>
      <c r="N7" s="10">
        <f>IFERROR(成品仓计算!K7*成品仓计算!M7,0)</f>
        <v/>
      </c>
      <c r="O7" s="9" t="n"/>
      <c r="P7" s="10">
        <f>IFERROR(成品仓计算!K7+成品仓计算!L7+成品仓计算!N7+IF(成品仓计算!O7="",0,成品仓计算!O7),0)</f>
        <v/>
      </c>
      <c r="Q7" s="10">
        <f>IFERROR(CEILING(成品仓计算!P7/MAX(产品SKU!M6,1),1)*参数设置!$C$13/MAX(参数设置!$C$14,1)/参数设置!$C$19*参数设置!$C$21,0)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10">
        <f>参数设置!$C$30</f>
        <v/>
      </c>
      <c r="N8" s="10">
        <f>IFERROR(成品仓计算!K8*成品仓计算!M8,0)</f>
        <v/>
      </c>
      <c r="O8" s="9" t="n"/>
      <c r="P8" s="10">
        <f>IFERROR(成品仓计算!K8+成品仓计算!L8+成品仓计算!N8+IF(成品仓计算!O8="",0,成品仓计算!O8),0)</f>
        <v/>
      </c>
      <c r="Q8" s="10">
        <f>IFERROR(CEILING(成品仓计算!P8/MAX(产品SKU!M7,1),1)*参数设置!$C$13/MAX(参数设置!$C$14,1)/参数设置!$C$19*参数设置!$C$21,0)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10">
        <f>参数设置!$C$30</f>
        <v/>
      </c>
      <c r="N9" s="10">
        <f>IFERROR(成品仓计算!K9*成品仓计算!M9,0)</f>
        <v/>
      </c>
      <c r="O9" s="9" t="n"/>
      <c r="P9" s="10">
        <f>IFERROR(成品仓计算!K9+成品仓计算!L9+成品仓计算!N9+IF(成品仓计算!O9="",0,成品仓计算!O9),0)</f>
        <v/>
      </c>
      <c r="Q9" s="10">
        <f>IFERROR(CEILING(成品仓计算!P9/MAX(产品SKU!M8,1),1)*参数设置!$C$13/MAX(参数设置!$C$14,1)/参数设置!$C$19*参数设置!$C$21,0)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10">
        <f>参数设置!$C$30</f>
        <v/>
      </c>
      <c r="N10" s="10">
        <f>IFERROR(成品仓计算!K10*成品仓计算!M10,0)</f>
        <v/>
      </c>
      <c r="O10" s="9" t="n"/>
      <c r="P10" s="10">
        <f>IFERROR(成品仓计算!K10+成品仓计算!L10+成品仓计算!N10+IF(成品仓计算!O10="",0,成品仓计算!O10),0)</f>
        <v/>
      </c>
      <c r="Q10" s="10">
        <f>IFERROR(CEILING(成品仓计算!P10/MAX(产品SKU!M9,1),1)*参数设置!$C$13/MAX(参数设置!$C$14,1)/参数设置!$C$19*参数设置!$C$21,0)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10">
        <f>参数设置!$C$30</f>
        <v/>
      </c>
      <c r="N11" s="10">
        <f>IFERROR(成品仓计算!K11*成品仓计算!M11,0)</f>
        <v/>
      </c>
      <c r="O11" s="9" t="n"/>
      <c r="P11" s="10">
        <f>IFERROR(成品仓计算!K11+成品仓计算!L11+成品仓计算!N11+IF(成品仓计算!O11="",0,成品仓计算!O11),0)</f>
        <v/>
      </c>
      <c r="Q11" s="10">
        <f>IFERROR(CEILING(成品仓计算!P11/MAX(产品SKU!M10,1),1)*参数设置!$C$13/MAX(参数设置!$C$14,1)/参数设置!$C$19*参数设置!$C$21,0)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10">
        <f>参数设置!$C$30</f>
        <v/>
      </c>
      <c r="N12" s="10">
        <f>IFERROR(成品仓计算!K12*成品仓计算!M12,0)</f>
        <v/>
      </c>
      <c r="O12" s="9" t="n"/>
      <c r="P12" s="10">
        <f>IFERROR(成品仓计算!K12+成品仓计算!L12+成品仓计算!N12+IF(成品仓计算!O12="",0,成品仓计算!O12),0)</f>
        <v/>
      </c>
      <c r="Q12" s="10">
        <f>IFERROR(CEILING(成品仓计算!P12/MAX(产品SKU!M11,1),1)*参数设置!$C$13/MAX(参数设置!$C$14,1)/参数设置!$C$19*参数设置!$C$21,0)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10">
        <f>参数设置!$C$30</f>
        <v/>
      </c>
      <c r="N13" s="10">
        <f>IFERROR(成品仓计算!K13*成品仓计算!M13,0)</f>
        <v/>
      </c>
      <c r="O13" s="9" t="n"/>
      <c r="P13" s="10">
        <f>IFERROR(成品仓计算!K13+成品仓计算!L13+成品仓计算!N13+IF(成品仓计算!O13="",0,成品仓计算!O13),0)</f>
        <v/>
      </c>
      <c r="Q13" s="10">
        <f>IFERROR(CEILING(成品仓计算!P13/MAX(产品SKU!M12,1),1)*参数设置!$C$13/MAX(参数设置!$C$14,1)/参数设置!$C$19*参数设置!$C$21,0)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10">
        <f>参数设置!$C$30</f>
        <v/>
      </c>
      <c r="N14" s="10">
        <f>IFERROR(成品仓计算!K14*成品仓计算!M14,0)</f>
        <v/>
      </c>
      <c r="O14" s="9" t="n"/>
      <c r="P14" s="10">
        <f>IFERROR(成品仓计算!K14+成品仓计算!L14+成品仓计算!N14+IF(成品仓计算!O14="",0,成品仓计算!O14),0)</f>
        <v/>
      </c>
      <c r="Q14" s="10">
        <f>IFERROR(CEILING(成品仓计算!P14/MAX(产品SKU!M13,1),1)*参数设置!$C$13/MAX(参数设置!$C$14,1)/参数设置!$C$19*参数设置!$C$21,0)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10">
        <f>参数设置!$C$30</f>
        <v/>
      </c>
      <c r="N15" s="10">
        <f>IFERROR(成品仓计算!K15*成品仓计算!M15,0)</f>
        <v/>
      </c>
      <c r="O15" s="9" t="n"/>
      <c r="P15" s="10">
        <f>IFERROR(成品仓计算!K15+成品仓计算!L15+成品仓计算!N15+IF(成品仓计算!O15="",0,成品仓计算!O15),0)</f>
        <v/>
      </c>
      <c r="Q15" s="10">
        <f>IFERROR(CEILING(成品仓计算!P15/MAX(产品SKU!M14,1),1)*参数设置!$C$13/MAX(参数设置!$C$14,1)/参数设置!$C$19*参数设置!$C$21,0)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P16" s="10">
        <f>SUM(P4:P15)</f>
        <v/>
      </c>
      <c r="Q16" s="10">
        <f>SUM(Q4:Q15)</f>
        <v/>
      </c>
    </row>
  </sheetData>
  <mergeCells count="3">
    <mergeCell ref="A2:Q2"/>
    <mergeCell ref="A1:Q1"/>
    <mergeCell ref="A16:D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14" customWidth="1" min="8" max="8"/>
    <col width="16" customWidth="1" min="9" max="9"/>
    <col width="24" customWidth="1" min="10" max="10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估算库存
单价(元)</t>
        </is>
      </c>
      <c r="I2" s="6" t="inlineStr">
        <is>
          <t>库存占用
金额(元)
[自动]</t>
        </is>
      </c>
      <c r="J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原料仓计算!R19</f>
        <v/>
      </c>
      <c r="D3" s="8" t="inlineStr">
        <is>
          <t>（各原料单位不同）</t>
        </is>
      </c>
      <c r="E3" s="17">
        <f>原料仓计算!T19</f>
        <v/>
      </c>
      <c r="F3" s="10">
        <f>原料仓计算!U19</f>
        <v/>
      </c>
      <c r="G3" s="10">
        <f>IFERROR(汇总!F3*参数设置!$C$21,0)</f>
        <v/>
      </c>
      <c r="H3" s="11" t="n"/>
      <c r="I3" s="10">
        <f>IFERROR(汇总!C3*汇总!H3,0)</f>
        <v/>
      </c>
      <c r="J3" s="8" t="inlineStr"/>
    </row>
    <row r="4" ht="24" customHeight="1">
      <c r="A4" s="21" t="inlineStr">
        <is>
          <t>过程品仓
（粗破后）</t>
        </is>
      </c>
      <c r="B4" s="8" t="inlineStr">
        <is>
          <t>MAX(下游小时消耗×缓冲小时数, 批量×等待批次)÷(1-故障率)×(1+良率损失率) + 待检 + 尾批 + 不良品</t>
        </is>
      </c>
      <c r="C4" s="10">
        <f>过程品仓计算!R17</f>
        <v/>
      </c>
      <c r="D4" s="8" t="inlineStr">
        <is>
          <t>件</t>
        </is>
      </c>
      <c r="E4" s="9" t="n"/>
      <c r="F4" s="10">
        <f>过程品仓计算!S17</f>
        <v/>
      </c>
      <c r="G4" s="10">
        <f>IFERROR(汇总!F4*参数设置!$C$21,0)</f>
        <v/>
      </c>
      <c r="H4" s="11" t="n"/>
      <c r="I4" s="10">
        <f>IFERROR(汇总!C4*汇总!H4,0)</f>
        <v/>
      </c>
      <c r="J4" s="8" t="inlineStr"/>
    </row>
    <row r="5" ht="24" customHeight="1">
      <c r="A5" s="20" t="inlineStr">
        <is>
          <t>过程品仓
（烘干后）</t>
        </is>
      </c>
      <c r="B5" s="8" t="inlineStr">
        <is>
          <t>MAX(下游小时消耗×缓冲小时数, 批量×等待批次)÷(1-故障率)×(1+良率损失率) + 待检 + 尾批 + 不良品</t>
        </is>
      </c>
      <c r="C5" s="10">
        <f>过程品仓计算!R31</f>
        <v/>
      </c>
      <c r="D5" s="8" t="inlineStr">
        <is>
          <t>件</t>
        </is>
      </c>
      <c r="E5" s="9" t="n"/>
      <c r="F5" s="10">
        <f>过程品仓计算!S31</f>
        <v/>
      </c>
      <c r="G5" s="10">
        <f>IFERROR(汇总!F5*参数设置!$C$21,0)</f>
        <v/>
      </c>
      <c r="H5" s="11" t="n"/>
      <c r="I5" s="10">
        <f>IFERROR(汇总!C5*汇总!H5,0)</f>
        <v/>
      </c>
      <c r="J5" s="8" t="inlineStr"/>
    </row>
    <row r="6" ht="24" customHeight="1">
      <c r="A6" s="21" t="inlineStr">
        <is>
          <t>过程品仓
（磨粉后）</t>
        </is>
      </c>
      <c r="B6" s="8" t="inlineStr">
        <is>
          <t>MAX(下游小时消耗×缓冲小时数, 批量×等待批次)÷(1-故障率)×(1+良率损失率) + 待检 + 尾批 + 不良品</t>
        </is>
      </c>
      <c r="C6" s="10">
        <f>过程品仓计算!R45</f>
        <v/>
      </c>
      <c r="D6" s="8" t="inlineStr">
        <is>
          <t>件</t>
        </is>
      </c>
      <c r="E6" s="9" t="n"/>
      <c r="F6" s="10">
        <f>过程品仓计算!S45</f>
        <v/>
      </c>
      <c r="G6" s="10">
        <f>IFERROR(汇总!F6*参数设置!$C$21,0)</f>
        <v/>
      </c>
      <c r="H6" s="11" t="n"/>
      <c r="I6" s="10">
        <f>IFERROR(汇总!C6*汇总!H6,0)</f>
        <v/>
      </c>
      <c r="J6" s="8" t="inlineStr"/>
    </row>
    <row r="7" ht="24" customHeight="1">
      <c r="A7" s="20" t="inlineStr">
        <is>
          <t>过程品仓
（低温碳化后）</t>
        </is>
      </c>
      <c r="B7" s="8" t="inlineStr">
        <is>
          <t>MAX(下游小时消耗×缓冲小时数, 批量×等待批次)÷(1-故障率)×(1+良率损失率) + 待检 + 尾批 + 不良品</t>
        </is>
      </c>
      <c r="C7" s="10">
        <f>过程品仓计算!R59</f>
        <v/>
      </c>
      <c r="D7" s="8" t="inlineStr">
        <is>
          <t>件</t>
        </is>
      </c>
      <c r="E7" s="9" t="n"/>
      <c r="F7" s="10">
        <f>过程品仓计算!S59</f>
        <v/>
      </c>
      <c r="G7" s="10">
        <f>IFERROR(汇总!F7*参数设置!$C$21,0)</f>
        <v/>
      </c>
      <c r="H7" s="11" t="n"/>
      <c r="I7" s="10">
        <f>IFERROR(汇总!C7*汇总!H7,0)</f>
        <v/>
      </c>
      <c r="J7" s="8" t="inlineStr"/>
    </row>
    <row r="8" ht="24" customHeight="1">
      <c r="A8" s="21" t="inlineStr">
        <is>
          <t>过程品仓
（石墨化后）</t>
        </is>
      </c>
      <c r="B8" s="8" t="inlineStr">
        <is>
          <t>MAX(下游小时消耗×缓冲小时数, 批量×等待批次)÷(1-故障率)×(1+良率损失率) + 待检 + 尾批 + 不良品</t>
        </is>
      </c>
      <c r="C8" s="10">
        <f>过程品仓计算!R73</f>
        <v/>
      </c>
      <c r="D8" s="8" t="inlineStr">
        <is>
          <t>件</t>
        </is>
      </c>
      <c r="E8" s="9" t="n"/>
      <c r="F8" s="10">
        <f>过程品仓计算!S73</f>
        <v/>
      </c>
      <c r="G8" s="10">
        <f>IFERROR(汇总!F8*参数设置!$C$21,0)</f>
        <v/>
      </c>
      <c r="H8" s="11" t="n"/>
      <c r="I8" s="10">
        <f>IFERROR(汇总!C8*汇总!H8,0)</f>
        <v/>
      </c>
      <c r="J8" s="8" t="inlineStr"/>
    </row>
    <row r="9" ht="24" customHeight="1">
      <c r="A9" s="20" t="inlineStr">
        <is>
          <t>过程品仓
（高温碳化后）</t>
        </is>
      </c>
      <c r="B9" s="8" t="inlineStr">
        <is>
          <t>MAX(下游小时消耗×缓冲小时数, 批量×等待批次)÷(1-故障率)×(1+良率损失率) + 待检 + 尾批 + 不良品</t>
        </is>
      </c>
      <c r="C9" s="10">
        <f>过程品仓计算!R87</f>
        <v/>
      </c>
      <c r="D9" s="8" t="inlineStr">
        <is>
          <t>件</t>
        </is>
      </c>
      <c r="E9" s="9" t="n"/>
      <c r="F9" s="10">
        <f>过程品仓计算!S87</f>
        <v/>
      </c>
      <c r="G9" s="10">
        <f>IFERROR(汇总!F9*参数设置!$C$21,0)</f>
        <v/>
      </c>
      <c r="H9" s="11" t="n"/>
      <c r="I9" s="10">
        <f>IFERROR(汇总!C9*汇总!H9,0)</f>
        <v/>
      </c>
      <c r="J9" s="8" t="inlineStr"/>
    </row>
    <row r="10" ht="24" customHeight="1">
      <c r="A10" s="21" t="inlineStr">
        <is>
          <t>过程品仓
（成品筛分后）</t>
        </is>
      </c>
      <c r="B10" s="8" t="inlineStr">
        <is>
          <t>MAX(下游小时消耗×缓冲小时数, 批量×等待批次)÷(1-故障率)×(1+良率损失率) + 待检 + 尾批 + 不良品</t>
        </is>
      </c>
      <c r="C10" s="10">
        <f>过程品仓计算!R101</f>
        <v/>
      </c>
      <c r="D10" s="8" t="inlineStr">
        <is>
          <t>件</t>
        </is>
      </c>
      <c r="E10" s="9" t="n"/>
      <c r="F10" s="10">
        <f>过程品仓计算!S101</f>
        <v/>
      </c>
      <c r="G10" s="10">
        <f>IFERROR(汇总!F10*参数设置!$C$21,0)</f>
        <v/>
      </c>
      <c r="H10" s="11" t="n"/>
      <c r="I10" s="10">
        <f>IFERROR(汇总!C10*汇总!H10,0)</f>
        <v/>
      </c>
      <c r="J10" s="8" t="inlineStr"/>
    </row>
    <row r="11" ht="24" customHeight="1">
      <c r="A11" s="22" t="inlineStr">
        <is>
          <t>过程品仓 合计</t>
        </is>
      </c>
      <c r="B11" s="8" t="inlineStr">
        <is>
          <t>见过程品仓计算!R102</t>
        </is>
      </c>
      <c r="C11" s="10">
        <f>过程品仓计算!R102</f>
        <v/>
      </c>
      <c r="D11" s="8" t="inlineStr">
        <is>
          <t>件</t>
        </is>
      </c>
      <c r="E11" s="9" t="n"/>
      <c r="F11" s="10">
        <f>过程品仓计算!S102</f>
        <v/>
      </c>
      <c r="G11" s="10">
        <f>IFERROR(汇总!F11*参数设置!$C$21,0)</f>
        <v/>
      </c>
      <c r="H11" s="11" t="n"/>
      <c r="I11" s="10">
        <f>IFERROR(汇总!C11*汇总!H11,0)</f>
        <v/>
      </c>
      <c r="J11" s="8" t="inlineStr"/>
    </row>
    <row r="12" ht="24" customHeight="1">
      <c r="A12" s="21" t="inlineStr">
        <is>
          <t>成品仓</t>
        </is>
      </c>
      <c r="B12" s="8" t="inlineStr">
        <is>
          <t>MAX(日需求×生产间隔, 日需求×目标天数, 最小批量) + 安全库存 + 返工补偿 + 待检放行</t>
        </is>
      </c>
      <c r="C12" s="10">
        <f>成品仓计算!P16</f>
        <v/>
      </c>
      <c r="D12" s="8" t="inlineStr">
        <is>
          <t>件</t>
        </is>
      </c>
      <c r="E12" s="9" t="n"/>
      <c r="F12" s="10">
        <f>成品仓计算!Q16</f>
        <v/>
      </c>
      <c r="G12" s="10">
        <f>IFERROR(汇总!F12*参数设置!$C$21,0)</f>
        <v/>
      </c>
      <c r="H12" s="11" t="n"/>
      <c r="I12" s="10">
        <f>IFERROR(汇总!C12*汇总!H12,0)</f>
        <v/>
      </c>
      <c r="J12" s="8" t="inlineStr"/>
    </row>
    <row r="13" ht="26" customHeight="1">
      <c r="A13" s="23" t="inlineStr">
        <is>
          <t>三类仓库合计（不含辅助区域）</t>
        </is>
      </c>
      <c r="G13" s="10">
        <f>IFERROR(汇总!G3+汇总!G11+汇总!G12,0)</f>
        <v/>
      </c>
      <c r="I13" s="10">
        <f>IFERROR(汇总!I3+汇总!I11+汇总!I12,0)</f>
        <v/>
      </c>
    </row>
    <row r="15" ht="36" customHeight="1">
      <c r="A15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7">
      <c r="A17" s="25" t="inlineStr">
        <is>
          <t>★ 面积估算关键参数(可在[参数设置]工作表中修改)：</t>
        </is>
      </c>
    </row>
    <row r="18" ht="18" customHeight="1">
      <c r="A18" s="8" t="inlineStr">
        <is>
          <t>单托盘占地面积</t>
        </is>
      </c>
      <c r="B18" s="16">
        <f>参数设置!C13&amp;" m²"</f>
        <v/>
      </c>
    </row>
    <row r="19" ht="18" customHeight="1">
      <c r="A19" s="8" t="inlineStr">
        <is>
          <t>地堆层数</t>
        </is>
      </c>
      <c r="B19" s="16">
        <f>参数设置!C14&amp;" 层"</f>
        <v/>
      </c>
    </row>
    <row r="20" ht="18" customHeight="1">
      <c r="A20" s="8" t="inlineStr">
        <is>
          <t>原料仓面积利用率</t>
        </is>
      </c>
      <c r="B20" s="16">
        <f>TEXT(参数设置!C17,"0.0%")</f>
        <v/>
      </c>
    </row>
    <row r="21" ht="18" customHeight="1">
      <c r="A21" s="8" t="inlineStr">
        <is>
          <t>过程品仓面积利用率</t>
        </is>
      </c>
      <c r="B21" s="16">
        <f>TEXT(参数设置!C18,"0.0%")</f>
        <v/>
      </c>
    </row>
    <row r="22" ht="18" customHeight="1">
      <c r="A22" s="8" t="inlineStr">
        <is>
          <t>成品仓面积利用率</t>
        </is>
      </c>
      <c r="B22" s="16">
        <f>TEXT(参数设置!C19,"0.0%")</f>
        <v/>
      </c>
    </row>
    <row r="23" ht="18" customHeight="1">
      <c r="A23" s="8" t="inlineStr">
        <is>
          <t>扩展余量系数</t>
        </is>
      </c>
      <c r="B23" s="16">
        <f>参数设置!C21</f>
        <v/>
      </c>
    </row>
  </sheetData>
  <mergeCells count="4">
    <mergeCell ref="A15:J15"/>
    <mergeCell ref="A1:J1"/>
    <mergeCell ref="A13:B13"/>
    <mergeCell ref="A17:J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2026-07-18T08:06:51Z</dcterms:created>
  <dcterms:modified xsi:type="dcterms:W3CDTF">2026-07-18T08:06:51Z</dcterms:modified>
</cp:coreProperties>
</file>